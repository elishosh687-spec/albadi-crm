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240" yWindow="640" windowWidth="28040" windowHeight="15800" tabRatio="600" firstSheet="0" activeTab="0" autoFilterDateGrouping="1"/>
  </bookViews>
  <sheets>
    <sheet xmlns:r="http://schemas.openxmlformats.org/officeDocument/2006/relationships" name="尺寸总览 Size Overview" sheetId="1" state="visible" r:id="rId1"/>
    <sheet xmlns:r="http://schemas.openxmlformats.org/officeDocument/2006/relationships" name="H20-D8（9）-W25" sheetId="2" state="visible" r:id="rId2"/>
    <sheet xmlns:r="http://schemas.openxmlformats.org/officeDocument/2006/relationships" name="H30-D10-W30" sheetId="3" state="visible" r:id="rId3"/>
    <sheet xmlns:r="http://schemas.openxmlformats.org/officeDocument/2006/relationships" name="H30-D12-W40" sheetId="4" state="visible" r:id="rId4"/>
    <sheet xmlns:r="http://schemas.openxmlformats.org/officeDocument/2006/relationships" name="H40-D15-W50" sheetId="5" state="visible" r:id="rId5"/>
    <sheet xmlns:r="http://schemas.openxmlformats.org/officeDocument/2006/relationships" name="H15-D5-W20" sheetId="6" state="visible" r:id="rId6"/>
    <sheet xmlns:r="http://schemas.openxmlformats.org/officeDocument/2006/relationships" name="H15-D9-W20" sheetId="7" state="visible" r:id="rId7"/>
    <sheet xmlns:r="http://schemas.openxmlformats.org/officeDocument/2006/relationships" name="H35-D10-W40" sheetId="8" state="visible" r:id="rId8"/>
    <sheet xmlns:r="http://schemas.openxmlformats.org/officeDocument/2006/relationships" name="H40-D15-W45" sheetId="9" state="visible" r:id="rId9"/>
    <sheet xmlns:r="http://schemas.openxmlformats.org/officeDocument/2006/relationships" name="H50-D20-W60" sheetId="10" state="visible" r:id="rId10"/>
    <sheet xmlns:r="http://schemas.openxmlformats.org/officeDocument/2006/relationships" name="H30-W40" sheetId="11" state="visible" r:id="rId11"/>
    <sheet xmlns:r="http://schemas.openxmlformats.org/officeDocument/2006/relationships" name="H15-W20" sheetId="12" state="visible" r:id="rId12"/>
    <sheet xmlns:r="http://schemas.openxmlformats.org/officeDocument/2006/relationships" name="H8-W10" sheetId="13" state="visible" r:id="rId13"/>
    <sheet xmlns:r="http://schemas.openxmlformats.org/officeDocument/2006/relationships" name="H10-W15" sheetId="14" state="visible" r:id="rId14"/>
    <sheet xmlns:r="http://schemas.openxmlformats.org/officeDocument/2006/relationships" name="H25-W25" sheetId="15" state="visible" r:id="rId15"/>
    <sheet xmlns:r="http://schemas.openxmlformats.org/officeDocument/2006/relationships" name="H35-W50" sheetId="16" state="visible" r:id="rId1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&quot;￥&quot;#,##0.00;&quot;￥&quot;\-#,##0.00"/>
  </numFmts>
  <fonts count="10">
    <font>
      <name val="Calibri"/>
      <family val="2"/>
      <color theme="1"/>
      <sz val="10"/>
      <scheme val="minor"/>
    </font>
    <font>
      <name val="宋体"/>
      <family val="2"/>
      <color rgb="FF0000FF"/>
      <sz val="11"/>
      <u val="single"/>
    </font>
    <font>
      <name val="宋体"/>
      <family val="2"/>
      <color rgb="FF800080"/>
      <sz val="11"/>
      <u val="single"/>
    </font>
    <font>
      <name val="Times New Roman"/>
      <family val="2"/>
      <color rgb="FF000000"/>
      <sz val="12"/>
    </font>
    <font>
      <name val="宋体"/>
      <family val="2"/>
      <color rgb="FF000000"/>
      <sz val="12"/>
    </font>
    <font>
      <name val="Times New Roman"/>
      <family val="2"/>
      <b val="1"/>
      <color rgb="FF000000"/>
      <sz val="24"/>
    </font>
    <font>
      <name val="Times New Roman"/>
      <family val="2"/>
      <b val="1"/>
      <color rgb="FF000000"/>
      <sz val="14"/>
    </font>
    <font>
      <name val="宋体"/>
      <family val="2"/>
      <b val="1"/>
      <color rgb="FF000000"/>
      <sz val="14"/>
    </font>
    <font>
      <name val="Times New Roman"/>
      <family val="2"/>
      <color rgb="FF000000"/>
      <sz val="11"/>
    </font>
    <font>
      <name val="宋体"/>
      <family val="2"/>
      <color rgb="FF000000"/>
      <sz val="11"/>
    </font>
  </fonts>
  <fills count="60">
    <fill>
      <patternFill/>
    </fill>
    <fill>
      <patternFill patternType="gray125"/>
    </fill>
    <fill>
      <patternFill patternType="solid">
        <fgColor rgb="FFFFC000"/>
      </patternFill>
    </fill>
    <fill>
      <patternFill patternType="solid">
        <fgColor rgb="FFFFC000"/>
      </patternFill>
    </fill>
    <fill>
      <patternFill patternType="solid">
        <fgColor rgb="FFFFC000"/>
      </patternFill>
    </fill>
    <fill>
      <patternFill patternType="solid">
        <fgColor rgb="FFFFC000"/>
      </patternFill>
    </fill>
    <fill>
      <patternFill patternType="solid">
        <fgColor rgb="FFFFC000"/>
      </patternFill>
    </fill>
    <fill>
      <patternFill patternType="solid">
        <fgColor rgb="FFE7E6E6"/>
      </patternFill>
    </fill>
    <fill>
      <patternFill patternType="solid">
        <fgColor rgb="FFE7E6E6"/>
      </patternFill>
    </fill>
    <fill>
      <patternFill patternType="solid">
        <fgColor rgb="FFE7E6E6"/>
      </patternFill>
    </fill>
    <fill>
      <patternFill patternType="solid">
        <fgColor rgb="FFE7E6E6"/>
      </patternFill>
    </fill>
    <fill>
      <patternFill patternType="solid">
        <fgColor rgb="FFFFC000"/>
      </patternFill>
    </fill>
    <fill>
      <patternFill patternType="solid">
        <fgColor rgb="FFFFC000"/>
      </patternFill>
    </fill>
    <fill>
      <patternFill patternType="solid">
        <fgColor rgb="FFFFC000"/>
      </patternFill>
    </fill>
    <fill>
      <patternFill patternType="solid">
        <fgColor rgb="FFFFC000"/>
      </patternFill>
    </fill>
    <fill>
      <patternFill patternType="solid">
        <fgColor rgb="FFFFC000"/>
      </patternFill>
    </fill>
    <fill>
      <patternFill patternType="solid">
        <fgColor rgb="FFFFC000"/>
      </patternFill>
    </fill>
    <fill>
      <patternFill patternType="solid">
        <fgColor rgb="FFFFC000"/>
      </patternFill>
    </fill>
    <fill>
      <patternFill patternType="solid">
        <fgColor rgb="FFE7E6E6"/>
      </patternFill>
    </fill>
    <fill>
      <patternFill patternType="solid">
        <fgColor rgb="FFE7E6E6"/>
      </patternFill>
    </fill>
    <fill>
      <patternFill patternType="solid">
        <fgColor rgb="FFE7E6E6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5B9BD5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5B9BD5"/>
      </patternFill>
    </fill>
    <fill>
      <patternFill patternType="solid">
        <fgColor rgb="FFD9DCE1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70AD47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5B9BD5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70AD47"/>
      </patternFill>
    </fill>
    <fill>
      <patternFill patternType="solid">
        <fgColor rgb="FF70AD47"/>
      </patternFill>
    </fill>
    <fill>
      <patternFill patternType="solid">
        <fgColor rgb="FFD9DCE1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D9DCE1"/>
      </patternFill>
    </fill>
    <fill>
      <patternFill patternType="solid">
        <fgColor rgb="FFD9DCE1"/>
      </patternFill>
    </fill>
    <fill>
      <patternFill patternType="solid">
        <fgColor rgb="FFD9DCE1"/>
      </patternFill>
    </fill>
  </fills>
  <borders count="10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</borders>
  <cellStyleXfs count="2">
    <xf numFmtId="0" fontId="0" fillId="0" borderId="65"/>
    <xf numFmtId="0" fontId="1" fillId="0" borderId="65" applyAlignment="1" applyProtection="1">
      <alignment vertical="center"/>
      <protection locked="0" hidden="0"/>
    </xf>
  </cellStyleXfs>
  <cellXfs count="137">
    <xf numFmtId="0" fontId="0" fillId="0" borderId="0" applyAlignment="1" pivotButton="0" quotePrefix="0" xfId="0">
      <alignment vertical="center"/>
    </xf>
    <xf numFmtId="0" fontId="2" fillId="0" borderId="2" applyAlignment="1" pivotButton="0" quotePrefix="0" xfId="1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1" fillId="0" borderId="4" applyAlignment="1" pivotButton="0" quotePrefix="0" xfId="1">
      <alignment horizontal="center" vertical="center" wrapText="1"/>
    </xf>
    <xf numFmtId="0" fontId="3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165" fontId="3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 wrapText="1"/>
    </xf>
    <xf numFmtId="0" fontId="5" fillId="3" borderId="12" applyAlignment="1" pivotButton="0" quotePrefix="0" xfId="0">
      <alignment horizontal="center" vertical="center" wrapText="1"/>
    </xf>
    <xf numFmtId="164" fontId="5" fillId="4" borderId="13" applyAlignment="1" pivotButton="0" quotePrefix="0" xfId="0">
      <alignment horizontal="center" vertical="center" wrapText="1"/>
    </xf>
    <xf numFmtId="0" fontId="5" fillId="5" borderId="14" applyAlignment="1" pivotButton="0" quotePrefix="0" xfId="0">
      <alignment horizontal="center" vertical="center" wrapText="1"/>
    </xf>
    <xf numFmtId="0" fontId="5" fillId="6" borderId="15" applyAlignment="1" pivotButton="0" quotePrefix="0" xfId="0">
      <alignment horizontal="center" vertical="center" wrapText="1"/>
    </xf>
    <xf numFmtId="0" fontId="6" fillId="7" borderId="16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center" vertical="center" wrapText="1"/>
    </xf>
    <xf numFmtId="0" fontId="7" fillId="9" borderId="18" applyAlignment="1" pivotButton="0" quotePrefix="0" xfId="0">
      <alignment horizontal="center" vertical="center" wrapText="1"/>
    </xf>
    <xf numFmtId="164" fontId="6" fillId="10" borderId="19" applyAlignment="1" pivotButton="0" quotePrefix="0" xfId="0">
      <alignment horizontal="center" vertical="center" wrapText="1"/>
    </xf>
    <xf numFmtId="0" fontId="6" fillId="11" borderId="20" applyAlignment="1" pivotButton="0" quotePrefix="0" xfId="0">
      <alignment horizontal="left" vertical="center"/>
    </xf>
    <xf numFmtId="0" fontId="6" fillId="12" borderId="21" applyAlignment="1" pivotButton="0" quotePrefix="0" xfId="0">
      <alignment horizontal="center" vertical="center"/>
    </xf>
    <xf numFmtId="164" fontId="6" fillId="13" borderId="22" applyAlignment="1" pivotButton="0" quotePrefix="0" xfId="0">
      <alignment horizontal="center" vertical="center"/>
    </xf>
    <xf numFmtId="0" fontId="6" fillId="14" borderId="23" applyAlignment="1" pivotButton="0" quotePrefix="0" xfId="0">
      <alignment horizontal="left" vertical="center" wrapText="1"/>
    </xf>
    <xf numFmtId="0" fontId="6" fillId="15" borderId="24" applyAlignment="1" pivotButton="0" quotePrefix="0" xfId="0">
      <alignment horizontal="center" vertical="center"/>
    </xf>
    <xf numFmtId="0" fontId="6" fillId="16" borderId="25" applyAlignment="1" pivotButton="0" quotePrefix="0" xfId="0">
      <alignment horizontal="left" vertical="center"/>
    </xf>
    <xf numFmtId="0" fontId="7" fillId="17" borderId="26" applyAlignment="1" pivotButton="0" quotePrefix="0" xfId="0">
      <alignment horizontal="center" vertical="center"/>
    </xf>
    <xf numFmtId="0" fontId="7" fillId="18" borderId="27" applyAlignment="1" pivotButton="0" quotePrefix="0" xfId="0">
      <alignment horizontal="center" vertical="center" wrapText="1"/>
    </xf>
    <xf numFmtId="0" fontId="7" fillId="19" borderId="28" applyAlignment="1" pivotButton="0" quotePrefix="0" xfId="0">
      <alignment horizontal="center" vertical="center" wrapText="1"/>
    </xf>
    <xf numFmtId="164" fontId="7" fillId="20" borderId="29" applyAlignment="1" pivotButton="0" quotePrefix="0" xfId="0">
      <alignment horizontal="center" vertical="center" wrapText="1"/>
    </xf>
    <xf numFmtId="165" fontId="3" fillId="21" borderId="30" applyAlignment="1" pivotButton="0" quotePrefix="0" xfId="0">
      <alignment horizontal="center" vertical="center"/>
    </xf>
    <xf numFmtId="0" fontId="3" fillId="0" borderId="31" applyAlignment="1" pivotButton="0" quotePrefix="0" xfId="0">
      <alignment horizontal="center" vertical="center"/>
    </xf>
    <xf numFmtId="0" fontId="3" fillId="0" borderId="32" applyAlignment="1" pivotButton="0" quotePrefix="0" xfId="0">
      <alignment horizontal="center" vertical="center"/>
    </xf>
    <xf numFmtId="164" fontId="3" fillId="0" borderId="33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 wrapText="1"/>
    </xf>
    <xf numFmtId="0" fontId="3" fillId="0" borderId="36" applyAlignment="1" pivotButton="0" quotePrefix="0" xfId="0">
      <alignment horizontal="center" vertical="center"/>
    </xf>
    <xf numFmtId="165" fontId="4" fillId="22" borderId="37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 wrapText="1"/>
    </xf>
    <xf numFmtId="165" fontId="3" fillId="23" borderId="39" applyAlignment="1" pivotButton="0" quotePrefix="0" xfId="0">
      <alignment horizontal="center" vertical="center"/>
    </xf>
    <xf numFmtId="0" fontId="3" fillId="0" borderId="40" applyAlignment="1" pivotButton="0" quotePrefix="0" xfId="0">
      <alignment horizontal="center" vertical="center"/>
    </xf>
    <xf numFmtId="0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 wrapText="1"/>
    </xf>
    <xf numFmtId="0" fontId="3" fillId="0" borderId="44" applyAlignment="1" pivotButton="0" quotePrefix="0" xfId="0">
      <alignment horizontal="center" vertical="center"/>
    </xf>
    <xf numFmtId="164" fontId="3" fillId="0" borderId="45" applyAlignment="1" pivotButton="0" quotePrefix="0" xfId="0">
      <alignment horizontal="center" vertical="center"/>
    </xf>
    <xf numFmtId="0" fontId="3" fillId="24" borderId="46" applyAlignment="1" pivotButton="0" quotePrefix="0" xfId="0">
      <alignment horizontal="center" vertical="center" wrapText="1"/>
    </xf>
    <xf numFmtId="0" fontId="3" fillId="25" borderId="47" applyAlignment="1" pivotButton="0" quotePrefix="0" xfId="0">
      <alignment horizontal="center" vertical="center"/>
    </xf>
    <xf numFmtId="164" fontId="3" fillId="26" borderId="48" applyAlignment="1" pivotButton="0" quotePrefix="0" xfId="0">
      <alignment horizontal="center" vertical="center"/>
    </xf>
    <xf numFmtId="0" fontId="3" fillId="27" borderId="49" applyAlignment="1" pivotButton="0" quotePrefix="0" xfId="0">
      <alignment horizontal="center" vertical="center"/>
    </xf>
    <xf numFmtId="0" fontId="4" fillId="28" borderId="50" applyAlignment="1" pivotButton="0" quotePrefix="0" xfId="0">
      <alignment horizontal="center" vertical="center" wrapText="1"/>
    </xf>
    <xf numFmtId="0" fontId="3" fillId="29" borderId="51" applyAlignment="1" pivotButton="0" quotePrefix="0" xfId="0">
      <alignment horizontal="center" vertical="center"/>
    </xf>
    <xf numFmtId="0" fontId="3" fillId="30" borderId="52" applyAlignment="1" pivotButton="0" quotePrefix="0" xfId="0">
      <alignment horizontal="center" vertical="center" wrapText="1"/>
    </xf>
    <xf numFmtId="0" fontId="3" fillId="31" borderId="53" applyAlignment="1" pivotButton="0" quotePrefix="0" xfId="0">
      <alignment horizontal="center" vertical="center" wrapText="1"/>
    </xf>
    <xf numFmtId="165" fontId="3" fillId="32" borderId="54" applyAlignment="1" pivotButton="0" quotePrefix="0" xfId="0">
      <alignment horizontal="center" vertical="center"/>
    </xf>
    <xf numFmtId="0" fontId="3" fillId="33" borderId="55" applyAlignment="1" pivotButton="0" quotePrefix="0" xfId="0">
      <alignment horizontal="center" vertical="center" wrapText="1"/>
    </xf>
    <xf numFmtId="165" fontId="4" fillId="34" borderId="56" applyAlignment="1" pivotButton="0" quotePrefix="0" xfId="0">
      <alignment horizontal="center" vertical="center" wrapText="1"/>
    </xf>
    <xf numFmtId="0" fontId="3" fillId="0" borderId="57" applyAlignment="1" pivotButton="0" quotePrefix="0" xfId="0">
      <alignment horizontal="center" vertical="center" wrapText="1"/>
    </xf>
    <xf numFmtId="0" fontId="4" fillId="0" borderId="58" applyAlignment="1" pivotButton="0" quotePrefix="0" xfId="0">
      <alignment horizontal="center" vertical="center"/>
    </xf>
    <xf numFmtId="0" fontId="3" fillId="0" borderId="59" applyAlignment="1" pivotButton="0" quotePrefix="0" xfId="0">
      <alignment horizontal="center" vertical="center" wrapText="1"/>
    </xf>
    <xf numFmtId="0" fontId="4" fillId="0" borderId="60" applyAlignment="1" pivotButton="0" quotePrefix="0" xfId="0">
      <alignment horizontal="center" vertical="center" wrapText="1"/>
    </xf>
    <xf numFmtId="0" fontId="3" fillId="0" borderId="61" applyAlignment="1" pivotButton="0" quotePrefix="0" xfId="0">
      <alignment horizontal="center" vertical="center"/>
    </xf>
    <xf numFmtId="0" fontId="8" fillId="35" borderId="62" applyAlignment="1" pivotButton="0" quotePrefix="0" xfId="0">
      <alignment vertical="center" wrapText="1"/>
    </xf>
    <xf numFmtId="0" fontId="8" fillId="36" borderId="63" applyAlignment="1" pivotButton="0" quotePrefix="0" xfId="0">
      <alignment vertical="center" wrapText="1"/>
    </xf>
    <xf numFmtId="0" fontId="9" fillId="0" borderId="64" applyAlignment="1" pivotButton="0" quotePrefix="0" xfId="0">
      <alignment vertical="center" wrapText="1"/>
    </xf>
    <xf numFmtId="0" fontId="9" fillId="0" borderId="65" applyAlignment="1" pivotButton="0" quotePrefix="0" xfId="0">
      <alignment horizontal="center" vertical="center"/>
    </xf>
    <xf numFmtId="0" fontId="3" fillId="37" borderId="66" applyAlignment="1" pivotButton="0" quotePrefix="0" xfId="0">
      <alignment horizontal="center" vertical="center"/>
    </xf>
    <xf numFmtId="0" fontId="4" fillId="38" borderId="67" applyAlignment="1" pivotButton="0" quotePrefix="0" xfId="0">
      <alignment horizontal="center" vertical="center" wrapText="1"/>
    </xf>
    <xf numFmtId="0" fontId="3" fillId="39" borderId="68" applyAlignment="1" pivotButton="0" quotePrefix="0" xfId="0">
      <alignment horizontal="center" vertical="center" wrapText="1"/>
    </xf>
    <xf numFmtId="0" fontId="4" fillId="40" borderId="69" applyAlignment="1" pivotButton="0" quotePrefix="0" xfId="0">
      <alignment horizontal="center" vertical="center" wrapText="1"/>
    </xf>
    <xf numFmtId="0" fontId="3" fillId="41" borderId="70" applyAlignment="1" pivotButton="0" quotePrefix="0" xfId="0">
      <alignment horizontal="center" vertical="center"/>
    </xf>
    <xf numFmtId="164" fontId="3" fillId="42" borderId="71" applyAlignment="1" pivotButton="0" quotePrefix="0" xfId="0">
      <alignment horizontal="center" vertical="center"/>
    </xf>
    <xf numFmtId="0" fontId="3" fillId="43" borderId="72" applyAlignment="1" pivotButton="0" quotePrefix="0" xfId="0">
      <alignment horizontal="center" vertical="center"/>
    </xf>
    <xf numFmtId="0" fontId="3" fillId="44" borderId="73" applyAlignment="1" pivotButton="0" quotePrefix="0" xfId="0">
      <alignment horizontal="center" vertical="center" wrapText="1"/>
    </xf>
    <xf numFmtId="0" fontId="3" fillId="45" borderId="74" applyAlignment="1" pivotButton="0" quotePrefix="0" xfId="0">
      <alignment horizontal="center" vertical="center" wrapText="1"/>
    </xf>
    <xf numFmtId="0" fontId="3" fillId="46" borderId="75" applyAlignment="1" pivotButton="0" quotePrefix="0" xfId="0">
      <alignment horizontal="center" vertical="center"/>
    </xf>
    <xf numFmtId="0" fontId="3" fillId="47" borderId="76" applyAlignment="1" pivotButton="0" quotePrefix="0" xfId="0">
      <alignment horizontal="center" vertical="center" wrapText="1"/>
    </xf>
    <xf numFmtId="0" fontId="3" fillId="48" borderId="77" applyAlignment="1" pivotButton="0" quotePrefix="0" xfId="0">
      <alignment horizontal="center" vertical="center"/>
    </xf>
    <xf numFmtId="164" fontId="3" fillId="49" borderId="78" applyAlignment="1" pivotButton="0" quotePrefix="0" xfId="0">
      <alignment horizontal="center" vertical="center"/>
    </xf>
    <xf numFmtId="0" fontId="3" fillId="50" borderId="79" applyAlignment="1" pivotButton="0" quotePrefix="0" xfId="0">
      <alignment horizontal="center" vertical="center"/>
    </xf>
    <xf numFmtId="0" fontId="4" fillId="51" borderId="80" applyAlignment="1" pivotButton="0" quotePrefix="0" xfId="0">
      <alignment horizontal="center" vertical="center" wrapText="1"/>
    </xf>
    <xf numFmtId="165" fontId="3" fillId="52" borderId="81" applyAlignment="1" pivotButton="0" quotePrefix="0" xfId="0">
      <alignment horizontal="center" vertical="center"/>
    </xf>
    <xf numFmtId="165" fontId="3" fillId="53" borderId="82" applyAlignment="1" pivotButton="0" quotePrefix="0" xfId="0">
      <alignment horizontal="center" vertical="center"/>
    </xf>
    <xf numFmtId="0" fontId="3" fillId="54" borderId="83" applyAlignment="1" pivotButton="0" quotePrefix="0" xfId="0">
      <alignment horizontal="center" vertical="center" wrapText="1"/>
    </xf>
    <xf numFmtId="0" fontId="3" fillId="55" borderId="84" applyAlignment="1" pivotButton="0" quotePrefix="0" xfId="0">
      <alignment horizontal="center" vertical="center" wrapText="1"/>
    </xf>
    <xf numFmtId="0" fontId="3" fillId="56" borderId="85" applyAlignment="1" pivotButton="0" quotePrefix="0" xfId="0">
      <alignment horizontal="center" vertical="center" wrapText="1"/>
    </xf>
    <xf numFmtId="165" fontId="3" fillId="0" borderId="86" applyAlignment="1" pivotButton="0" quotePrefix="0" xfId="0">
      <alignment horizontal="center" vertical="center"/>
    </xf>
    <xf numFmtId="165" fontId="3" fillId="57" borderId="87" applyAlignment="1" pivotButton="0" quotePrefix="0" xfId="0">
      <alignment horizontal="center" vertical="center"/>
    </xf>
    <xf numFmtId="165" fontId="3" fillId="58" borderId="88" applyAlignment="1" pivotButton="0" quotePrefix="0" xfId="0">
      <alignment horizontal="center" vertical="center"/>
    </xf>
    <xf numFmtId="165" fontId="3" fillId="0" borderId="89" applyAlignment="1" pivotButton="0" quotePrefix="0" xfId="0">
      <alignment horizontal="center" vertical="center"/>
    </xf>
    <xf numFmtId="165" fontId="3" fillId="59" borderId="90" applyAlignment="1" pivotButton="0" quotePrefix="0" xfId="0">
      <alignment horizontal="center" vertical="center"/>
    </xf>
    <xf numFmtId="165" fontId="3" fillId="0" borderId="91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59" applyAlignment="1" pivotButton="0" quotePrefix="0" xfId="0">
      <alignment horizontal="center" vertical="center" wrapText="1"/>
    </xf>
    <xf numFmtId="0" fontId="0" fillId="0" borderId="94" pivotButton="0" quotePrefix="0" xfId="0"/>
    <xf numFmtId="0" fontId="0" fillId="0" borderId="61" pivotButton="0" quotePrefix="0" xfId="0"/>
    <xf numFmtId="0" fontId="6" fillId="16" borderId="49" applyAlignment="1" pivotButton="0" quotePrefix="0" xfId="0">
      <alignment horizontal="left" vertical="center"/>
    </xf>
    <xf numFmtId="0" fontId="0" fillId="0" borderId="97" pivotButton="0" quotePrefix="0" xfId="0"/>
    <xf numFmtId="0" fontId="0" fillId="0" borderId="51" pivotButton="0" quotePrefix="0" xfId="0"/>
    <xf numFmtId="0" fontId="7" fillId="17" borderId="87" applyAlignment="1" pivotButton="0" quotePrefix="0" xfId="0">
      <alignment horizontal="center" vertical="center"/>
    </xf>
    <xf numFmtId="0" fontId="6" fillId="12" borderId="87" applyAlignment="1" pivotButton="0" quotePrefix="0" xfId="0">
      <alignment horizontal="center" vertical="center"/>
    </xf>
    <xf numFmtId="0" fontId="6" fillId="7" borderId="87" applyAlignment="1" pivotButton="0" quotePrefix="0" xfId="0">
      <alignment horizontal="center" vertical="center" wrapText="1"/>
    </xf>
    <xf numFmtId="164" fontId="7" fillId="20" borderId="29" applyAlignment="1" pivotButton="0" quotePrefix="0" xfId="0">
      <alignment horizontal="center" vertical="center" wrapText="1"/>
    </xf>
    <xf numFmtId="0" fontId="3" fillId="0" borderId="87" applyAlignment="1" pivotButton="0" quotePrefix="0" xfId="0">
      <alignment horizontal="center" vertical="center" wrapText="1"/>
    </xf>
    <xf numFmtId="0" fontId="1" fillId="0" borderId="87" applyAlignment="1" pivotButton="0" quotePrefix="0" xfId="1">
      <alignment horizontal="center" vertical="center" wrapText="1"/>
    </xf>
    <xf numFmtId="0" fontId="2" fillId="0" borderId="87" applyAlignment="1" pivotButton="0" quotePrefix="0" xfId="1">
      <alignment horizontal="center" vertical="center" wrapText="1"/>
    </xf>
    <xf numFmtId="0" fontId="3" fillId="0" borderId="91" applyAlignment="1" pivotButton="0" quotePrefix="0" xfId="0">
      <alignment horizontal="center" vertical="center" wrapText="1"/>
    </xf>
    <xf numFmtId="165" fontId="3" fillId="21" borderId="30" applyAlignment="1" pivotButton="0" quotePrefix="0" xfId="0">
      <alignment horizontal="center" vertical="center"/>
    </xf>
    <xf numFmtId="0" fontId="3" fillId="0" borderId="87" applyAlignment="1" pivotButton="0" quotePrefix="0" xfId="0">
      <alignment horizontal="center" vertical="center"/>
    </xf>
    <xf numFmtId="164" fontId="3" fillId="0" borderId="87" applyAlignment="1" pivotButton="0" quotePrefix="0" xfId="0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2" pivotButton="0" quotePrefix="0" xfId="0"/>
    <xf numFmtId="165" fontId="4" fillId="22" borderId="37" applyAlignment="1" pivotButton="0" quotePrefix="0" xfId="0">
      <alignment horizontal="center" vertical="center" wrapText="1"/>
    </xf>
    <xf numFmtId="0" fontId="0" fillId="0" borderId="103" pivotButton="0" quotePrefix="0" xfId="0"/>
    <xf numFmtId="0" fontId="0" fillId="0" borderId="70" pivotButton="0" quotePrefix="0" xfId="0"/>
    <xf numFmtId="0" fontId="0" fillId="0" borderId="88" pivotButton="0" quotePrefix="0" xfId="0"/>
    <xf numFmtId="0" fontId="3" fillId="0" borderId="51" applyAlignment="1" pivotButton="0" quotePrefix="0" xfId="0">
      <alignment horizontal="center" vertical="center"/>
    </xf>
    <xf numFmtId="0" fontId="0" fillId="0" borderId="72" pivotButton="0" quotePrefix="0" xfId="0"/>
    <xf numFmtId="165" fontId="3" fillId="23" borderId="39" applyAlignment="1" pivotButton="0" quotePrefix="0" xfId="0">
      <alignment horizontal="center" vertical="center"/>
    </xf>
    <xf numFmtId="0" fontId="0" fillId="0" borderId="83" pivotButton="0" quotePrefix="0" xfId="0"/>
    <xf numFmtId="0" fontId="3" fillId="39" borderId="88" applyAlignment="1" pivotButton="0" quotePrefix="0" xfId="0">
      <alignment horizontal="center" vertical="center" wrapText="1"/>
    </xf>
    <xf numFmtId="165" fontId="4" fillId="34" borderId="56" applyAlignment="1" pivotButton="0" quotePrefix="0" xfId="0">
      <alignment horizontal="center" vertical="center" wrapText="1"/>
    </xf>
    <xf numFmtId="0" fontId="3" fillId="37" borderId="88" applyAlignment="1" pivotButton="0" quotePrefix="0" xfId="0">
      <alignment horizontal="center" vertical="center"/>
    </xf>
    <xf numFmtId="164" fontId="3" fillId="42" borderId="88" applyAlignment="1" pivotButton="0" quotePrefix="0" xfId="0">
      <alignment horizontal="center" vertical="center"/>
    </xf>
    <xf numFmtId="0" fontId="4" fillId="38" borderId="83" applyAlignment="1" pivotButton="0" quotePrefix="0" xfId="0">
      <alignment horizontal="center" vertical="center" wrapText="1"/>
    </xf>
    <xf numFmtId="165" fontId="3" fillId="32" borderId="54" applyAlignment="1" pivotButton="0" quotePrefix="0" xfId="0">
      <alignment horizontal="center" vertical="center"/>
    </xf>
    <xf numFmtId="0" fontId="3" fillId="25" borderId="87" applyAlignment="1" pivotButton="0" quotePrefix="0" xfId="0">
      <alignment horizontal="center" vertical="center"/>
    </xf>
    <xf numFmtId="0" fontId="3" fillId="24" borderId="87" applyAlignment="1" pivotButton="0" quotePrefix="0" xfId="0">
      <alignment horizontal="center" vertical="center" wrapText="1"/>
    </xf>
    <xf numFmtId="164" fontId="3" fillId="26" borderId="87" applyAlignment="1" pivotButton="0" quotePrefix="0" xfId="0">
      <alignment horizontal="center" vertical="center"/>
    </xf>
    <xf numFmtId="165" fontId="3" fillId="52" borderId="81" applyAlignment="1" pivotButton="0" quotePrefix="0" xfId="0">
      <alignment horizontal="center" vertical="center"/>
    </xf>
    <xf numFmtId="165" fontId="3" fillId="53" borderId="82" applyAlignment="1" pivotButton="0" quotePrefix="0" xfId="0">
      <alignment horizontal="center" vertical="center"/>
    </xf>
    <xf numFmtId="165" fontId="3" fillId="0" borderId="91" applyAlignment="1" pivotButton="0" quotePrefix="0" xfId="0">
      <alignment horizontal="center" vertical="center"/>
    </xf>
    <xf numFmtId="165" fontId="3" fillId="0" borderId="86" applyAlignment="1" pivotButton="0" quotePrefix="0" xfId="0">
      <alignment horizontal="center" vertical="center"/>
    </xf>
    <xf numFmtId="165" fontId="3" fillId="0" borderId="89" applyAlignment="1" pivotButton="0" quotePrefix="0" xfId="0">
      <alignment horizontal="center" vertical="center"/>
    </xf>
    <xf numFmtId="165" fontId="3" fillId="58" borderId="88" applyAlignment="1" pivotButton="0" quotePrefix="0" xfId="0">
      <alignment horizontal="center" vertical="center"/>
    </xf>
    <xf numFmtId="165" fontId="3" fillId="57" borderId="87" applyAlignment="1" pivotButton="0" quotePrefix="0" xfId="0">
      <alignment horizontal="center" vertical="center"/>
    </xf>
    <xf numFmtId="165" fontId="3" fillId="59" borderId="90" applyAlignment="1" pivotButton="0" quotePrefix="0" xfId="0">
      <alignment horizontal="center" vertical="center"/>
    </xf>
  </cellXfs>
  <cellStyles count="2">
    <cellStyle name="Normal" xfId="0" builtinId="0"/>
    <cellStyle name="超链接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28"/>
  <sheetViews>
    <sheetView showGridLines="1" tabSelected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n"/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</row>
    <row r="7" ht="50" customHeight="1" s="91">
      <c r="A7" s="102" t="inlineStr">
        <is>
          <t>H20*D8*W25</t>
        </is>
      </c>
      <c r="B7" s="96" t="n"/>
      <c r="C7" s="96" t="n"/>
      <c r="D7" s="96" t="n"/>
      <c r="E7" s="96" t="n"/>
      <c r="F7" s="97" t="n"/>
      <c r="G7" s="103" t="inlineStr">
        <is>
          <t>H20-D8（9）-W25'!A1</t>
        </is>
      </c>
      <c r="H7" s="96" t="n"/>
      <c r="I7" s="96" t="n"/>
      <c r="J7" s="96" t="n"/>
      <c r="K7" s="96" t="n"/>
      <c r="L7" s="96" t="n"/>
      <c r="M7" s="96" t="n"/>
      <c r="N7" s="96" t="n"/>
      <c r="O7" s="97" t="n"/>
    </row>
    <row r="8" ht="50" customHeight="1" s="91">
      <c r="A8" s="102" t="inlineStr">
        <is>
          <t>H30*D10*W30</t>
        </is>
      </c>
      <c r="B8" s="96" t="n"/>
      <c r="C8" s="96" t="n"/>
      <c r="D8" s="96" t="n"/>
      <c r="E8" s="96" t="n"/>
      <c r="F8" s="97" t="n"/>
      <c r="G8" s="104" t="inlineStr">
        <is>
          <t>H30-D10-W30'!A1</t>
        </is>
      </c>
      <c r="H8" s="96" t="n"/>
      <c r="I8" s="96" t="n"/>
      <c r="J8" s="96" t="n"/>
      <c r="K8" s="96" t="n"/>
      <c r="L8" s="96" t="n"/>
      <c r="M8" s="96" t="n"/>
      <c r="N8" s="96" t="n"/>
      <c r="O8" s="97" t="n"/>
    </row>
    <row r="9" ht="50" customHeight="1" s="91">
      <c r="A9" s="102" t="inlineStr">
        <is>
          <t>H30*D12*W40</t>
        </is>
      </c>
      <c r="B9" s="96" t="n"/>
      <c r="C9" s="96" t="n"/>
      <c r="D9" s="96" t="n"/>
      <c r="E9" s="96" t="n"/>
      <c r="F9" s="97" t="n"/>
      <c r="G9" s="104" t="inlineStr">
        <is>
          <t>H30-D12-W40'!A1</t>
        </is>
      </c>
      <c r="H9" s="96" t="n"/>
      <c r="I9" s="96" t="n"/>
      <c r="J9" s="96" t="n"/>
      <c r="K9" s="96" t="n"/>
      <c r="L9" s="96" t="n"/>
      <c r="M9" s="96" t="n"/>
      <c r="N9" s="96" t="n"/>
      <c r="O9" s="97" t="n"/>
    </row>
    <row r="10" ht="50" customHeight="1" s="91">
      <c r="A10" s="102" t="inlineStr">
        <is>
          <t>H40*D15*W50</t>
        </is>
      </c>
      <c r="B10" s="96" t="n"/>
      <c r="C10" s="96" t="n"/>
      <c r="D10" s="96" t="n"/>
      <c r="E10" s="96" t="n"/>
      <c r="F10" s="97" t="n"/>
      <c r="G10" s="104" t="inlineStr">
        <is>
          <t>H40-D15-W50'!A1</t>
        </is>
      </c>
      <c r="H10" s="96" t="n"/>
      <c r="I10" s="96" t="n"/>
      <c r="J10" s="96" t="n"/>
      <c r="K10" s="96" t="n"/>
      <c r="L10" s="96" t="n"/>
      <c r="M10" s="96" t="n"/>
      <c r="N10" s="96" t="n"/>
      <c r="O10" s="97" t="n"/>
    </row>
    <row r="11" ht="50" customHeight="1" s="91">
      <c r="A11" s="102" t="inlineStr">
        <is>
          <t>H15*D5*W20</t>
        </is>
      </c>
      <c r="B11" s="96" t="n"/>
      <c r="C11" s="96" t="n"/>
      <c r="D11" s="96" t="n"/>
      <c r="E11" s="96" t="n"/>
      <c r="F11" s="97" t="n"/>
      <c r="G11" s="104" t="inlineStr">
        <is>
          <t>H15-D5-W20'!A1</t>
        </is>
      </c>
      <c r="H11" s="96" t="n"/>
      <c r="I11" s="96" t="n"/>
      <c r="J11" s="96" t="n"/>
      <c r="K11" s="96" t="n"/>
      <c r="L11" s="96" t="n"/>
      <c r="M11" s="96" t="n"/>
      <c r="N11" s="96" t="n"/>
      <c r="O11" s="97" t="n"/>
    </row>
    <row r="12" ht="50" customHeight="1" s="91">
      <c r="A12" s="102" t="inlineStr">
        <is>
          <t>H15*D9*W20</t>
        </is>
      </c>
      <c r="B12" s="96" t="n"/>
      <c r="C12" s="96" t="n"/>
      <c r="D12" s="96" t="n"/>
      <c r="E12" s="96" t="n"/>
      <c r="F12" s="97" t="n"/>
      <c r="G12" s="104" t="inlineStr">
        <is>
          <t>H15-D9-W20'!A1</t>
        </is>
      </c>
      <c r="H12" s="96" t="n"/>
      <c r="I12" s="96" t="n"/>
      <c r="J12" s="96" t="n"/>
      <c r="K12" s="96" t="n"/>
      <c r="L12" s="96" t="n"/>
      <c r="M12" s="96" t="n"/>
      <c r="N12" s="96" t="n"/>
      <c r="O12" s="97" t="n"/>
    </row>
    <row r="13" ht="50" customHeight="1" s="91">
      <c r="A13" s="102" t="inlineStr">
        <is>
          <t>H35*D10*W40</t>
        </is>
      </c>
      <c r="B13" s="96" t="n"/>
      <c r="C13" s="96" t="n"/>
      <c r="D13" s="96" t="n"/>
      <c r="E13" s="96" t="n"/>
      <c r="F13" s="97" t="n"/>
      <c r="G13" s="104" t="inlineStr">
        <is>
          <t>H35-D10-W40'!A1</t>
        </is>
      </c>
      <c r="H13" s="96" t="n"/>
      <c r="I13" s="96" t="n"/>
      <c r="J13" s="96" t="n"/>
      <c r="K13" s="96" t="n"/>
      <c r="L13" s="96" t="n"/>
      <c r="M13" s="96" t="n"/>
      <c r="N13" s="96" t="n"/>
      <c r="O13" s="97" t="n"/>
    </row>
    <row r="14" ht="50" customHeight="1" s="91">
      <c r="A14" s="102" t="inlineStr">
        <is>
          <t>H40*D15*W45</t>
        </is>
      </c>
      <c r="B14" s="96" t="n"/>
      <c r="C14" s="96" t="n"/>
      <c r="D14" s="96" t="n"/>
      <c r="E14" s="96" t="n"/>
      <c r="F14" s="97" t="n"/>
      <c r="G14" s="104" t="inlineStr">
        <is>
          <t>H40-D15-W45'!A1</t>
        </is>
      </c>
      <c r="H14" s="96" t="n"/>
      <c r="I14" s="96" t="n"/>
      <c r="J14" s="96" t="n"/>
      <c r="K14" s="96" t="n"/>
      <c r="L14" s="96" t="n"/>
      <c r="M14" s="96" t="n"/>
      <c r="N14" s="96" t="n"/>
      <c r="O14" s="97" t="n"/>
    </row>
    <row r="15" ht="50" customHeight="1" s="91">
      <c r="A15" s="102" t="inlineStr">
        <is>
          <t>H50*D20*W60</t>
        </is>
      </c>
      <c r="B15" s="96" t="n"/>
      <c r="C15" s="96" t="n"/>
      <c r="D15" s="96" t="n"/>
      <c r="E15" s="96" t="n"/>
      <c r="F15" s="97" t="n"/>
      <c r="G15" s="103" t="inlineStr">
        <is>
          <t>H50-D20-W60'!A1</t>
        </is>
      </c>
      <c r="H15" s="96" t="n"/>
      <c r="I15" s="96" t="n"/>
      <c r="J15" s="96" t="n"/>
      <c r="K15" s="96" t="n"/>
      <c r="L15" s="96" t="n"/>
      <c r="M15" s="96" t="n"/>
      <c r="N15" s="96" t="n"/>
      <c r="O15" s="97" t="n"/>
    </row>
    <row r="16" ht="50" customHeight="1" s="91">
      <c r="A16" s="102" t="inlineStr">
        <is>
          <t>H30*W40</t>
        </is>
      </c>
      <c r="B16" s="96" t="n"/>
      <c r="C16" s="96" t="n"/>
      <c r="D16" s="96" t="n"/>
      <c r="E16" s="96" t="n"/>
      <c r="F16" s="97" t="n"/>
      <c r="G16" s="103" t="inlineStr">
        <is>
          <t>H30-W40'!A1</t>
        </is>
      </c>
      <c r="H16" s="96" t="n"/>
      <c r="I16" s="96" t="n"/>
      <c r="J16" s="96" t="n"/>
      <c r="K16" s="96" t="n"/>
      <c r="L16" s="96" t="n"/>
      <c r="M16" s="96" t="n"/>
      <c r="N16" s="96" t="n"/>
      <c r="O16" s="97" t="n"/>
    </row>
    <row r="17" ht="50" customHeight="1" s="91">
      <c r="A17" s="102" t="inlineStr">
        <is>
          <t>H15*W20</t>
        </is>
      </c>
      <c r="B17" s="96" t="n"/>
      <c r="C17" s="96" t="n"/>
      <c r="D17" s="96" t="n"/>
      <c r="E17" s="96" t="n"/>
      <c r="F17" s="97" t="n"/>
      <c r="G17" s="103" t="inlineStr">
        <is>
          <t>H15-W20'!A1</t>
        </is>
      </c>
      <c r="H17" s="96" t="n"/>
      <c r="I17" s="96" t="n"/>
      <c r="J17" s="96" t="n"/>
      <c r="K17" s="96" t="n"/>
      <c r="L17" s="96" t="n"/>
      <c r="M17" s="96" t="n"/>
      <c r="N17" s="96" t="n"/>
      <c r="O17" s="97" t="n"/>
    </row>
    <row r="18" ht="50" customHeight="1" s="91">
      <c r="A18" s="102" t="inlineStr">
        <is>
          <t>H8*W10</t>
        </is>
      </c>
      <c r="B18" s="96" t="n"/>
      <c r="C18" s="96" t="n"/>
      <c r="D18" s="96" t="n"/>
      <c r="E18" s="96" t="n"/>
      <c r="F18" s="97" t="n"/>
      <c r="G18" s="103" t="inlineStr">
        <is>
          <t>H8-W10'!A1</t>
        </is>
      </c>
      <c r="H18" s="96" t="n"/>
      <c r="I18" s="96" t="n"/>
      <c r="J18" s="96" t="n"/>
      <c r="K18" s="96" t="n"/>
      <c r="L18" s="96" t="n"/>
      <c r="M18" s="96" t="n"/>
      <c r="N18" s="96" t="n"/>
      <c r="O18" s="97" t="n"/>
    </row>
    <row r="19" ht="50" customHeight="1" s="91">
      <c r="A19" s="102" t="inlineStr">
        <is>
          <t>H10*W15</t>
        </is>
      </c>
      <c r="B19" s="96" t="n"/>
      <c r="C19" s="96" t="n"/>
      <c r="D19" s="96" t="n"/>
      <c r="E19" s="96" t="n"/>
      <c r="F19" s="97" t="n"/>
      <c r="G19" s="103" t="inlineStr">
        <is>
          <t>H10-W15'!A1</t>
        </is>
      </c>
      <c r="H19" s="96" t="n"/>
      <c r="I19" s="96" t="n"/>
      <c r="J19" s="96" t="n"/>
      <c r="K19" s="96" t="n"/>
      <c r="L19" s="96" t="n"/>
      <c r="M19" s="96" t="n"/>
      <c r="N19" s="96" t="n"/>
      <c r="O19" s="97" t="n"/>
    </row>
    <row r="20" ht="50" customHeight="1" s="91">
      <c r="A20" s="102" t="inlineStr">
        <is>
          <t>H25*W25</t>
        </is>
      </c>
      <c r="B20" s="96" t="n"/>
      <c r="C20" s="96" t="n"/>
      <c r="D20" s="96" t="n"/>
      <c r="E20" s="96" t="n"/>
      <c r="F20" s="97" t="n"/>
      <c r="G20" s="103" t="inlineStr">
        <is>
          <t>H25-W25'!A1</t>
        </is>
      </c>
      <c r="H20" s="96" t="n"/>
      <c r="I20" s="96" t="n"/>
      <c r="J20" s="96" t="n"/>
      <c r="K20" s="96" t="n"/>
      <c r="L20" s="96" t="n"/>
      <c r="M20" s="96" t="n"/>
      <c r="N20" s="96" t="n"/>
      <c r="O20" s="97" t="n"/>
    </row>
    <row r="21" ht="50" customHeight="1" s="91">
      <c r="A21" s="102" t="inlineStr">
        <is>
          <t>H35*W50</t>
        </is>
      </c>
      <c r="B21" s="96" t="n"/>
      <c r="C21" s="96" t="n"/>
      <c r="D21" s="96" t="n"/>
      <c r="E21" s="96" t="n"/>
      <c r="F21" s="97" t="n"/>
      <c r="G21" s="103" t="inlineStr">
        <is>
          <t>H35-W50'!A1</t>
        </is>
      </c>
      <c r="H21" s="96" t="n"/>
      <c r="I21" s="96" t="n"/>
      <c r="J21" s="96" t="n"/>
      <c r="K21" s="96" t="n"/>
      <c r="L21" s="96" t="n"/>
      <c r="M21" s="96" t="n"/>
      <c r="N21" s="96" t="n"/>
      <c r="O21" s="97" t="n"/>
    </row>
    <row r="22" ht="50" customHeight="1" s="91">
      <c r="A22" s="6" t="n"/>
      <c r="B22" s="4" t="n"/>
      <c r="C22" s="6" t="n"/>
      <c r="D22" s="6" t="n"/>
      <c r="E22" s="6" t="n"/>
      <c r="F22" s="5" t="n"/>
      <c r="G22" s="6" t="n"/>
      <c r="H22" s="8" t="n"/>
      <c r="I22" s="4" t="n"/>
      <c r="J22" s="4" t="n"/>
      <c r="K22" s="4" t="n"/>
      <c r="L22" s="6" t="n"/>
      <c r="M22" s="7" t="n"/>
      <c r="N22" s="4" t="n"/>
      <c r="O22" s="9" t="n"/>
    </row>
    <row r="23" ht="50" customHeight="1" s="91">
      <c r="A23" s="6" t="n"/>
      <c r="B23" s="4" t="n"/>
      <c r="C23" s="6" t="n"/>
      <c r="D23" s="6" t="n"/>
      <c r="E23" s="6" t="n"/>
      <c r="F23" s="5" t="n"/>
      <c r="G23" s="6" t="n"/>
      <c r="H23" s="8" t="n"/>
      <c r="I23" s="4" t="n"/>
      <c r="J23" s="4" t="n"/>
      <c r="K23" s="4" t="n"/>
      <c r="L23" s="6" t="n"/>
      <c r="M23" s="7" t="n"/>
      <c r="N23" s="4" t="n"/>
      <c r="O23" s="9" t="n"/>
    </row>
    <row r="24" ht="50" customHeight="1" s="91">
      <c r="A24" s="6" t="n"/>
      <c r="B24" s="4" t="n"/>
      <c r="C24" s="6" t="n"/>
      <c r="D24" s="6" t="n"/>
      <c r="E24" s="6" t="n"/>
      <c r="F24" s="5" t="n"/>
      <c r="G24" s="6" t="n"/>
      <c r="H24" s="8" t="n"/>
      <c r="I24" s="4" t="n"/>
      <c r="J24" s="4" t="n"/>
      <c r="K24" s="4" t="n"/>
      <c r="L24" s="6" t="n"/>
      <c r="M24" s="7" t="n"/>
      <c r="N24" s="4" t="n"/>
      <c r="O24" s="9" t="n"/>
    </row>
    <row r="25" ht="50" customHeight="1" s="91">
      <c r="A25" s="6" t="n"/>
      <c r="B25" s="4" t="n"/>
      <c r="C25" s="6" t="n"/>
      <c r="D25" s="6" t="n"/>
      <c r="E25" s="6" t="n"/>
      <c r="F25" s="5" t="n"/>
      <c r="G25" s="6" t="n"/>
      <c r="H25" s="8" t="n"/>
      <c r="I25" s="4" t="n"/>
      <c r="J25" s="4" t="n"/>
      <c r="K25" s="4" t="n"/>
      <c r="L25" s="6" t="n"/>
      <c r="M25" s="7" t="n"/>
      <c r="N25" s="4" t="n"/>
      <c r="O25" s="9" t="n"/>
    </row>
    <row r="26" ht="50" customHeight="1" s="91">
      <c r="A26" s="6" t="n"/>
      <c r="B26" s="4" t="n"/>
      <c r="C26" s="6" t="n"/>
      <c r="D26" s="6" t="n"/>
      <c r="E26" s="6" t="n"/>
      <c r="F26" s="5" t="n"/>
      <c r="G26" s="6" t="n"/>
      <c r="H26" s="8" t="n"/>
      <c r="I26" s="4" t="n"/>
      <c r="J26" s="4" t="n"/>
      <c r="K26" s="4" t="n"/>
      <c r="L26" s="6" t="n"/>
      <c r="M26" s="7" t="n"/>
      <c r="N26" s="4" t="n"/>
      <c r="O26" s="9" t="n"/>
    </row>
    <row r="27" ht="50" customHeight="1" s="91">
      <c r="A27" s="6" t="n"/>
      <c r="B27" s="4" t="n"/>
      <c r="C27" s="6" t="n"/>
      <c r="D27" s="6" t="n"/>
      <c r="E27" s="6" t="n"/>
      <c r="F27" s="5" t="n"/>
      <c r="G27" s="6" t="n"/>
      <c r="H27" s="8" t="n"/>
      <c r="I27" s="4" t="n"/>
      <c r="J27" s="4" t="n"/>
      <c r="K27" s="4" t="n"/>
      <c r="L27" s="6" t="n"/>
      <c r="M27" s="7" t="n"/>
      <c r="N27" s="4" t="n"/>
      <c r="O27" s="9" t="n"/>
    </row>
    <row r="28" ht="50" customHeight="1" s="91">
      <c r="A28" s="6" t="n"/>
      <c r="B28" s="4" t="n"/>
      <c r="C28" s="6" t="n"/>
      <c r="D28" s="6" t="n"/>
      <c r="E28" s="6" t="n"/>
      <c r="F28" s="5" t="n"/>
      <c r="G28" s="6" t="n"/>
      <c r="H28" s="8" t="n"/>
      <c r="I28" s="4" t="n"/>
      <c r="J28" s="4" t="n"/>
      <c r="K28" s="4" t="n"/>
      <c r="L28" s="6" t="n"/>
      <c r="M28" s="7" t="n"/>
      <c r="N28" s="4" t="n"/>
      <c r="O28" s="9" t="n"/>
    </row>
    <row r="29" ht="17" customHeight="1" s="91"/>
    <row r="30" ht="17" customHeight="1" s="91"/>
    <row r="31" ht="17" customHeight="1" s="91"/>
    <row r="32" ht="17" customHeight="1" s="91"/>
    <row r="33" ht="17" customHeight="1" s="91"/>
    <row r="34" ht="17" customHeight="1" s="91"/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38">
    <mergeCell ref="A16:F16"/>
    <mergeCell ref="G7:O7"/>
    <mergeCell ref="D2:O2"/>
    <mergeCell ref="G10:O10"/>
    <mergeCell ref="G19:O19"/>
    <mergeCell ref="G13:O13"/>
    <mergeCell ref="G18:O18"/>
    <mergeCell ref="A3:C3"/>
    <mergeCell ref="A12:F12"/>
    <mergeCell ref="A18:F18"/>
    <mergeCell ref="A21:F21"/>
    <mergeCell ref="A2:C2"/>
    <mergeCell ref="G15:O15"/>
    <mergeCell ref="I5:N5"/>
    <mergeCell ref="A14:F14"/>
    <mergeCell ref="G14:O14"/>
    <mergeCell ref="A8:F8"/>
    <mergeCell ref="D4:O4"/>
    <mergeCell ref="A17:F17"/>
    <mergeCell ref="D3:O3"/>
    <mergeCell ref="A4:C4"/>
    <mergeCell ref="A20:F20"/>
    <mergeCell ref="G20:O20"/>
    <mergeCell ref="G16:O16"/>
    <mergeCell ref="A10:F10"/>
    <mergeCell ref="A13:F13"/>
    <mergeCell ref="A19:F19"/>
    <mergeCell ref="A9:F9"/>
    <mergeCell ref="G9:O9"/>
    <mergeCell ref="G21:O21"/>
    <mergeCell ref="A15:F15"/>
    <mergeCell ref="G12:O12"/>
    <mergeCell ref="A11:F11"/>
    <mergeCell ref="G11:O11"/>
    <mergeCell ref="A1:O1"/>
    <mergeCell ref="G17:O17"/>
    <mergeCell ref="G8:O8"/>
    <mergeCell ref="A7:F7"/>
  </mergeCells>
  <hyperlinks>
    <hyperlink ref="G7" location="'H20-D8（9）-W25'!A1" display="H20-D8（9）-W25'!A1"/>
    <hyperlink ref="G8" location="'H30-D10-W30'!A1" display="H30-D10-W30'!A1"/>
    <hyperlink ref="G9" location="'H30-D12-W40'!A1" display="H30-D12-W40'!A1"/>
    <hyperlink ref="G10" location="'H40-D15-W50'!A1" display="H40-D15-W50'!A1"/>
    <hyperlink ref="G11" location="'H15-D5-W20'!A1" display="H15-D5-W20'!A1"/>
    <hyperlink ref="G12" location="'H15-D9-W20'!A1" display="H15-D9-W20'!A1"/>
    <hyperlink ref="G13" location="'H35-D10-W40'!A1" display="H35-D10-W40'!A1"/>
    <hyperlink ref="G14" location="'H40-D15-W45'!A1" display="H40-D15-W45'!A1"/>
    <hyperlink ref="G15" location="'H50-D20-W60'!A1" display="H50-D20-W60'!A1"/>
    <hyperlink ref="G16" location="'H30-W40'!A1" display="H30-W40'!A1"/>
    <hyperlink ref="G17" location="'H15-W20'!A1" display="H15-W20'!A1"/>
    <hyperlink ref="G18" location="'H8-W10'!A1" display="H8-W10'!A1"/>
    <hyperlink ref="G19" location="'H10-W15'!A1" display="H10-W15'!A1"/>
    <hyperlink ref="G20" location="'H25-W25'!A1" display="H25-W25'!A1"/>
    <hyperlink ref="G21" location="'H35-W50'!A1" display="H35-W50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T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3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inlineStr">
        <is>
          <t>温州亚森制袋/浙江华庆塑业有限公司</t>
        </is>
      </c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  <c r="P5" s="64" t="inlineStr">
        <is>
          <t>温州亚森制袋</t>
        </is>
      </c>
      <c r="Q5" s="63" t="inlineStr">
        <is>
          <t>浙江华庆塑业有限公司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  <c r="P6" s="61" t="n"/>
      <c r="Q6" s="62" t="n"/>
    </row>
    <row r="7" ht="50" customHeight="1" s="91">
      <c r="A7" s="58" t="inlineStr">
        <is>
          <t>H20*D8*W25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06" t="n">
        <v>0.78</v>
      </c>
      <c r="I7" s="107" t="n">
        <v>250</v>
      </c>
      <c r="J7" s="107" t="n">
        <v>40</v>
      </c>
      <c r="K7" s="107" t="n">
        <v>24</v>
      </c>
      <c r="L7" s="102" t="n">
        <v>48</v>
      </c>
      <c r="M7" s="108">
        <f>PRODUCT(J7:L15)/1000000</f>
        <v/>
      </c>
      <c r="N7" s="107" t="n">
        <v>5.5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12" t="inlineStr">
        <is>
          <t>￥0.5
H20*D9*W25</t>
        </is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12" t="inlineStr">
        <is>
          <t>￥0.45
H20*D9*W25</t>
        </is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06" t="n">
        <v>0.93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12" t="inlineStr">
        <is>
          <t>￥0.55
H20*D9*W25</t>
        </is>
      </c>
      <c r="I11" s="111" t="n"/>
      <c r="J11" s="111" t="n"/>
      <c r="K11" s="111" t="n"/>
      <c r="L11" s="111" t="n"/>
      <c r="M11" s="111" t="n"/>
      <c r="N11" s="111" t="n"/>
      <c r="O11" s="113" t="n"/>
      <c r="P11" s="4" t="n"/>
      <c r="Q11" s="4" t="n"/>
      <c r="R11" s="6" t="n"/>
      <c r="S11" s="4" t="n"/>
      <c r="T11" s="6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12" t="inlineStr">
        <is>
          <t>￥0.5
H20*D9*W25</t>
        </is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06" t="n">
        <v>1.08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12" t="inlineStr">
        <is>
          <t>￥0.65
H20*D9*W25</t>
        </is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12" t="inlineStr">
        <is>
          <t>￥0.6
H20*D9*W25</t>
        </is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06" t="n">
        <v>1.3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06" t="n">
        <v>0.72</v>
      </c>
      <c r="I17" s="107" t="n">
        <v>250</v>
      </c>
      <c r="J17" s="107" t="n">
        <v>30</v>
      </c>
      <c r="K17" s="107" t="n">
        <v>24</v>
      </c>
      <c r="L17" s="102" t="n">
        <v>48</v>
      </c>
      <c r="M17" s="108">
        <f>PRODUCT(J17:L25)/1000000</f>
        <v/>
      </c>
      <c r="N17" s="107" t="n">
        <v>4</v>
      </c>
      <c r="O17" s="113" t="n"/>
      <c r="P17" s="4" t="n"/>
      <c r="Q17" s="4" t="n"/>
      <c r="R17" s="6" t="n"/>
      <c r="S17" s="4" t="n"/>
      <c r="T17" s="6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12" t="inlineStr">
        <is>
          <t>￥0.48
H20*D9*W25</t>
        </is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12" t="inlineStr">
        <is>
          <t>￥0.43
H20*D9*W25</t>
        </is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06" t="n">
        <v>0.87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12" t="inlineStr">
        <is>
          <t>￥0.53
H20*D9*W25</t>
        </is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12" t="inlineStr">
        <is>
          <t>￥0.48
H20*D9*W25</t>
        </is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06" t="n">
        <v>1.02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12" t="inlineStr">
        <is>
          <t>￥0.63
H20*D9*W25</t>
        </is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12" t="inlineStr">
        <is>
          <t>￥0.58
H20*D9*W25</t>
        </is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18" t="n">
        <v>1.25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H20*D8*W25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54" t="inlineStr">
        <is>
          <t>1color:￥360
2colors:￥720
3colors:￥1080</t>
        </is>
      </c>
      <c r="H27" s="121" t="inlineStr">
        <is>
          <t>￥0.49
H20*D9*W25</t>
        </is>
      </c>
      <c r="I27" s="122" t="n">
        <v>250</v>
      </c>
      <c r="J27" s="122" t="n">
        <v>40</v>
      </c>
      <c r="K27" s="122" t="n">
        <v>24</v>
      </c>
      <c r="L27" s="120" t="n">
        <v>48</v>
      </c>
      <c r="M27" s="123">
        <f>PRODUCT(J27:L30)/1000000</f>
        <v/>
      </c>
      <c r="N27" s="122" t="n">
        <v>5.5</v>
      </c>
      <c r="O27" s="124" t="inlineStr">
        <is>
          <t>logo颜色对成本没有影响，但是要收取版费
版费：元/色
The number of logo colors does not affect the cost, but printing costs will be charged
Printing cost: 
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54" t="inlineStr">
        <is>
          <t>1color:￥360
2colors:￥720
3colors:￥1080</t>
        </is>
      </c>
      <c r="H28" s="121" t="inlineStr">
        <is>
          <t>￥0.47
H20*D9*W25</t>
        </is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51" t="inlineStr">
        <is>
          <t>1color:￥300
2colors:￥600
3colors:￥900</t>
        </is>
      </c>
      <c r="H29" s="125" t="n">
        <v>2.3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51" t="inlineStr">
        <is>
          <t>1color:￥300
2colors:￥600
3colors:￥900</t>
        </is>
      </c>
      <c r="H30" s="125" t="n">
        <v>1.5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54" t="inlineStr">
        <is>
          <t>1color:￥360
2colors:￥720
3colors:￥1080</t>
        </is>
      </c>
      <c r="H31" s="121" t="inlineStr">
        <is>
          <t>￥0.47
H20*D9*W25</t>
        </is>
      </c>
      <c r="I31" s="126" t="n">
        <v>250</v>
      </c>
      <c r="J31" s="126" t="n">
        <v>30</v>
      </c>
      <c r="K31" s="126" t="n">
        <v>24</v>
      </c>
      <c r="L31" s="127" t="n">
        <v>48</v>
      </c>
      <c r="M31" s="128">
        <f>PRODUCT(J31:L34)/1000000</f>
        <v/>
      </c>
      <c r="N31" s="126" t="n">
        <v>4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54" t="inlineStr">
        <is>
          <t>1color:￥360
2colors:￥720
3colors:￥1080</t>
        </is>
      </c>
      <c r="H32" s="121" t="inlineStr">
        <is>
          <t>￥0.45
H20*D9*W25</t>
        </is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51" t="inlineStr">
        <is>
          <t>1color:￥300
2colors:￥600
3colors:￥900</t>
        </is>
      </c>
      <c r="H33" s="125" t="n">
        <v>2.2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3" t="inlineStr">
        <is>
          <t>1color:￥300
2colors:￥600
3colors:￥900</t>
        </is>
      </c>
      <c r="H34" s="118" t="n">
        <v>1.4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6">
    <mergeCell ref="K17:K26"/>
    <mergeCell ref="I27:I30"/>
    <mergeCell ref="M17:M26"/>
    <mergeCell ref="D2:O2"/>
    <mergeCell ref="B31:B34"/>
    <mergeCell ref="A7:A26"/>
    <mergeCell ref="K7:K16"/>
    <mergeCell ref="R10:S10"/>
    <mergeCell ref="A3:C3"/>
    <mergeCell ref="B7:B16"/>
    <mergeCell ref="B27:B30"/>
    <mergeCell ref="A2:C2"/>
    <mergeCell ref="J17:J26"/>
    <mergeCell ref="N7:N16"/>
    <mergeCell ref="L17:L26"/>
    <mergeCell ref="R16:S1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3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inlineStr">
        <is>
          <t>温州亚森制袋/浙江华庆塑业有限公司</t>
        </is>
      </c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  <c r="P5" s="64" t="inlineStr">
        <is>
          <t>温州亚森制袋</t>
        </is>
      </c>
      <c r="Q5" s="63" t="inlineStr">
        <is>
          <t>浙江华庆塑业有限公司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  <c r="P6" s="61" t="n"/>
      <c r="Q6" s="62" t="n"/>
    </row>
    <row r="7" ht="50" customHeight="1" s="91">
      <c r="A7" s="58" t="inlineStr">
        <is>
          <t>H30*D10*W30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06" t="n">
        <v>0.89</v>
      </c>
      <c r="I7" s="107" t="n">
        <v>250</v>
      </c>
      <c r="J7" s="107" t="n">
        <v>45</v>
      </c>
      <c r="K7" s="107" t="n">
        <v>34</v>
      </c>
      <c r="L7" s="102" t="n">
        <v>48</v>
      </c>
      <c r="M7" s="108">
        <f>PRODUCT(J7:L15)/1000000</f>
        <v/>
      </c>
      <c r="N7" s="107" t="n">
        <v>8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29" t="n">
        <v>0.65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29" t="n">
        <v>0.6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25" t="n">
        <v>1.04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29" t="n">
        <v>0.7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29" t="n">
        <v>0.65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25" t="n">
        <v>1.19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29" t="n">
        <v>0.8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29" t="n">
        <v>0.75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25" t="n">
        <v>1.4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25" t="n">
        <v>0.84</v>
      </c>
      <c r="I17" s="107" t="n">
        <v>250</v>
      </c>
      <c r="J17" s="107" t="n">
        <v>34</v>
      </c>
      <c r="K17" s="107" t="n">
        <v>34</v>
      </c>
      <c r="L17" s="102" t="n">
        <v>48</v>
      </c>
      <c r="M17" s="108">
        <f>PRODUCT(J17:L25)/1000000</f>
        <v/>
      </c>
      <c r="N17" s="107" t="n">
        <v>7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29" t="n">
        <v>0.63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29" t="n">
        <v>0.58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25" t="n">
        <v>0.99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29" t="n">
        <v>0.68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29" t="n">
        <v>0.63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25" t="n">
        <v>1.14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29" t="n">
        <v>0.78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29" t="n">
        <v>0.73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18" t="n">
        <v>1.36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H30*D10*W30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54" t="inlineStr">
        <is>
          <t>1color:￥290
2colors:￥580
3colors:￥870</t>
        </is>
      </c>
      <c r="H27" s="130" t="n">
        <v>0.6899999999999999</v>
      </c>
      <c r="I27" s="122" t="n">
        <v>250</v>
      </c>
      <c r="J27" s="122" t="n">
        <v>45</v>
      </c>
      <c r="K27" s="122" t="n">
        <v>34</v>
      </c>
      <c r="L27" s="120" t="n">
        <v>48</v>
      </c>
      <c r="M27" s="123">
        <f>PRODUCT(J27:L30)/1000000</f>
        <v/>
      </c>
      <c r="N27" s="122" t="n">
        <v>8</v>
      </c>
      <c r="O27" s="82" t="inlineStr">
        <is>
          <t>logo颜色对成本没有影响，但是要收取版费
版费：元/色
The number of logo colors does not affect the cost, but printing costs will be charged
Printing cost: 
￥/color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54" t="inlineStr">
        <is>
          <t>1color:￥290
2colors:￥580
3colors:￥870</t>
        </is>
      </c>
      <c r="H28" s="129" t="n">
        <v>0.67</v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51" t="inlineStr">
        <is>
          <t>1color:￥310
2colors:￥620
3colors:￥930</t>
        </is>
      </c>
      <c r="H29" s="125" t="n">
        <v>2.4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51" t="inlineStr">
        <is>
          <t>1color:￥310
2colors:￥620
3colors:￥930</t>
        </is>
      </c>
      <c r="H30" s="125" t="n">
        <v>1.57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54" t="inlineStr">
        <is>
          <t>1color:￥290
2colors:￥580
3colors:￥870</t>
        </is>
      </c>
      <c r="H31" s="130" t="n">
        <v>0.67</v>
      </c>
      <c r="I31" s="126" t="n">
        <v>250</v>
      </c>
      <c r="J31" s="126" t="n">
        <v>34</v>
      </c>
      <c r="K31" s="126" t="n">
        <v>34</v>
      </c>
      <c r="L31" s="127" t="n">
        <v>48</v>
      </c>
      <c r="M31" s="128">
        <f>PRODUCT(J31:L34)/1000000</f>
        <v/>
      </c>
      <c r="N31" s="126" t="n">
        <v>7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54" t="inlineStr">
        <is>
          <t>1color:￥290
2colors:￥580
3colors:￥870</t>
        </is>
      </c>
      <c r="H32" s="129" t="n">
        <v>0.65</v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51" t="inlineStr">
        <is>
          <t>1color:￥310
2colors:￥620
3colors:￥930</t>
        </is>
      </c>
      <c r="H33" s="125" t="n">
        <v>2.3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3" t="inlineStr">
        <is>
          <t>1color:￥310
2colors:￥620
3colors:￥930</t>
        </is>
      </c>
      <c r="H34" s="118" t="n">
        <v>1.5</v>
      </c>
      <c r="I34" s="115" t="n"/>
      <c r="J34" s="115" t="n"/>
      <c r="K34" s="115" t="n"/>
      <c r="L34" s="115" t="n"/>
      <c r="M34" s="115" t="n"/>
      <c r="N34" s="115" t="n"/>
      <c r="O34" s="119" t="n"/>
    </row>
    <row r="35" ht="40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Q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3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inlineStr">
        <is>
          <t>温州亚森制袋/浙江华庆塑业有限公司</t>
        </is>
      </c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  <c r="P5" s="64" t="inlineStr">
        <is>
          <t>温州亚森制袋</t>
        </is>
      </c>
      <c r="Q5" s="63" t="inlineStr">
        <is>
          <t>浙江华庆塑业有限公司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  <c r="P6" s="61" t="n"/>
      <c r="Q6" s="62" t="n"/>
    </row>
    <row r="7" ht="50" customHeight="1" s="91">
      <c r="A7" s="58" t="inlineStr">
        <is>
          <t>H30*D12*W40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25" t="n">
        <v>0.97</v>
      </c>
      <c r="I7" s="107" t="n">
        <v>250</v>
      </c>
      <c r="J7" s="107" t="n">
        <v>45</v>
      </c>
      <c r="K7" s="107" t="n">
        <v>45</v>
      </c>
      <c r="L7" s="102" t="n">
        <v>48</v>
      </c>
      <c r="M7" s="108">
        <f>PRODUCT(J7:L15)/1000000</f>
        <v/>
      </c>
      <c r="N7" s="107" t="n">
        <v>10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29" t="n">
        <v>0.78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25" t="n">
        <v>0.72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25" t="n">
        <v>1.12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29" t="n">
        <v>0.83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29" t="n">
        <v>0.78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25" t="n">
        <v>1.27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29" t="n">
        <v>0.93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29" t="n">
        <v>0.88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25" t="n">
        <v>1.4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25" t="n">
        <v>0.92</v>
      </c>
      <c r="I17" s="107" t="n">
        <v>250</v>
      </c>
      <c r="J17" s="107" t="n">
        <v>45</v>
      </c>
      <c r="K17" s="107" t="n">
        <v>35</v>
      </c>
      <c r="L17" s="102" t="n">
        <v>48</v>
      </c>
      <c r="M17" s="108">
        <f>PRODUCT(J17:L25)/1000000</f>
        <v/>
      </c>
      <c r="N17" s="107" t="n">
        <v>9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29" t="n">
        <v>0.76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25" t="n">
        <v>0.67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25" t="n">
        <v>1.07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29" t="n">
        <v>0.8100000000000001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29" t="n">
        <v>0.76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25" t="n">
        <v>1.22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29" t="n">
        <v>0.91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29" t="n">
        <v>0.86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18" t="n">
        <v>1.36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H30*D12*W40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54" t="inlineStr">
        <is>
          <t>1color:￥390
2colors:￥780
3colors:￥1170</t>
        </is>
      </c>
      <c r="H27" s="130" t="n">
        <v>0.85</v>
      </c>
      <c r="I27" s="122" t="n">
        <v>250</v>
      </c>
      <c r="J27" s="122" t="n">
        <v>45</v>
      </c>
      <c r="K27" s="122" t="n">
        <v>45</v>
      </c>
      <c r="L27" s="120" t="n">
        <v>48</v>
      </c>
      <c r="M27" s="123">
        <f>PRODUCT(J27:L30)/1000000</f>
        <v/>
      </c>
      <c r="N27" s="122" t="n">
        <v>10</v>
      </c>
      <c r="O27" s="82" t="inlineStr">
        <is>
          <t>logo颜色对成本没有影响，但是要收取版费
版费：400元/色
The number of logo colors does not affect the cost, but printing costs will be charged
Printing cost: 
￥400/color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54" t="inlineStr">
        <is>
          <t>1color:￥390
2colors:￥780
3colors:￥1170</t>
        </is>
      </c>
      <c r="H28" s="129" t="n">
        <v>0.83</v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51" t="inlineStr">
        <is>
          <t>1color:￥400
2colors:￥800
3colors:￥1200</t>
        </is>
      </c>
      <c r="H29" s="125" t="n">
        <v>2.45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51" t="inlineStr">
        <is>
          <t>1color:￥400
2colors:￥800
3colors:￥1200</t>
        </is>
      </c>
      <c r="H30" s="125" t="n">
        <v>1.64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54" t="inlineStr">
        <is>
          <t>1color:￥390
2colors:￥780
3colors:￥1170</t>
        </is>
      </c>
      <c r="H31" s="129" t="n">
        <v>0.83</v>
      </c>
      <c r="I31" s="126" t="n">
        <v>250</v>
      </c>
      <c r="J31" s="126" t="n">
        <v>45</v>
      </c>
      <c r="K31" s="126" t="n">
        <v>35</v>
      </c>
      <c r="L31" s="127" t="n">
        <v>48</v>
      </c>
      <c r="M31" s="128">
        <f>PRODUCT(J31:L34)/1000000</f>
        <v/>
      </c>
      <c r="N31" s="126" t="n">
        <v>9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54" t="inlineStr">
        <is>
          <t>1color:￥390
2colors:￥780
3colors:￥1170</t>
        </is>
      </c>
      <c r="H32" s="129" t="n">
        <v>0.8100000000000001</v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51" t="inlineStr">
        <is>
          <t>1color:￥400
2colors:￥800
3colors:￥1200</t>
        </is>
      </c>
      <c r="H33" s="125" t="n">
        <v>2.39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3" t="inlineStr">
        <is>
          <t>1color:￥400
2colors:￥800
3colors:￥1200</t>
        </is>
      </c>
      <c r="H34" s="118" t="n">
        <v>1.59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Q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3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inlineStr">
        <is>
          <t>温州亚森制袋/浙江华庆塑业有限公司</t>
        </is>
      </c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  <c r="P5" s="64" t="inlineStr">
        <is>
          <t>温州亚森制袋</t>
        </is>
      </c>
      <c r="Q5" s="63" t="inlineStr">
        <is>
          <t>浙江华庆塑业有限公司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  <c r="P6" s="61" t="n"/>
      <c r="Q6" s="62" t="n"/>
    </row>
    <row r="7" ht="50" customHeight="1" s="91">
      <c r="A7" s="58" t="inlineStr">
        <is>
          <t>H40*D15*W50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25" t="n">
        <v>1.3</v>
      </c>
      <c r="I7" s="107" t="n">
        <v>200</v>
      </c>
      <c r="J7" s="107" t="n">
        <v>65</v>
      </c>
      <c r="K7" s="107" t="n">
        <v>45</v>
      </c>
      <c r="L7" s="102" t="n">
        <v>40</v>
      </c>
      <c r="M7" s="108">
        <f>PRODUCT(J7:L15)/1000000</f>
        <v/>
      </c>
      <c r="N7" s="107" t="n">
        <v>12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29" t="n">
        <v>1.05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29" t="n">
        <v>1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25" t="n">
        <v>1.45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29" t="n">
        <v>1.1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29" t="n">
        <v>1.05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25" t="n">
        <v>1.6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29" t="n">
        <v>1.23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29" t="n">
        <v>1.15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25" t="n">
        <v>2.1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25" t="n">
        <v>1.24</v>
      </c>
      <c r="I17" s="107" t="n">
        <v>200</v>
      </c>
      <c r="J17" s="107" t="n">
        <v>55</v>
      </c>
      <c r="K17" s="107" t="n">
        <v>44</v>
      </c>
      <c r="L17" s="102" t="n">
        <v>40</v>
      </c>
      <c r="M17" s="108">
        <f>PRODUCT(J17:L25)/1000000</f>
        <v/>
      </c>
      <c r="N17" s="107" t="n">
        <v>11.5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29" t="n">
        <v>1.03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29" t="n">
        <v>0.98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25" t="n">
        <v>1.39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29" t="n">
        <v>1.08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29" t="n">
        <v>1.03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25" t="n">
        <v>1.54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29" t="n">
        <v>1.18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29" t="n">
        <v>1.13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18" t="n">
        <v>2.04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H40*D15*W50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54" t="inlineStr">
        <is>
          <t>1color:￥615
2colors:￥1230
3colors:￥1845</t>
        </is>
      </c>
      <c r="H27" s="130" t="n">
        <v>1.27</v>
      </c>
      <c r="I27" s="122" t="n">
        <v>200</v>
      </c>
      <c r="J27" s="122" t="n">
        <v>65</v>
      </c>
      <c r="K27" s="122" t="n">
        <v>45</v>
      </c>
      <c r="L27" s="120" t="n">
        <v>40</v>
      </c>
      <c r="M27" s="123">
        <f>PRODUCT(J27:L30)/1000000</f>
        <v/>
      </c>
      <c r="N27" s="122" t="n">
        <v>12</v>
      </c>
      <c r="O27" s="82" t="inlineStr">
        <is>
          <t>logo颜色对成本没有影响，但是要收取版费
版费：820元/色
The number of logo colors does not affect the cost, but printing costs will be charged
Printing cost: 
￥820/color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54" t="inlineStr">
        <is>
          <t>1color:￥615
2colors:￥1230
3colors:￥1845</t>
        </is>
      </c>
      <c r="H28" s="129" t="n">
        <v>1.25</v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51" t="inlineStr">
        <is>
          <t>1color:￥820
2colors:￥1640
3colors:￥2460</t>
        </is>
      </c>
      <c r="H29" s="125" t="n">
        <v>3.1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51" t="inlineStr">
        <is>
          <t>1color:￥820
2colors:￥1640
3colors:￥2460</t>
        </is>
      </c>
      <c r="H30" s="125" t="n">
        <v>2.3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83" t="inlineStr">
        <is>
          <t>1color:￥615
2colors:￥1230
3colors:￥1845</t>
        </is>
      </c>
      <c r="H31" s="125" t="n">
        <v>1.25</v>
      </c>
      <c r="I31" s="126" t="n">
        <v>200</v>
      </c>
      <c r="J31" s="126" t="n">
        <v>55</v>
      </c>
      <c r="K31" s="126" t="n">
        <v>44</v>
      </c>
      <c r="L31" s="127" t="n">
        <v>40</v>
      </c>
      <c r="M31" s="128">
        <f>PRODUCT(J31:L34)/1000000</f>
        <v/>
      </c>
      <c r="N31" s="126" t="n">
        <v>11.5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84" t="inlineStr">
        <is>
          <t>1color:￥820
2colors:￥1640
3colors:￥2460</t>
        </is>
      </c>
      <c r="H32" s="129" t="n">
        <v>1.18</v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51" t="inlineStr">
        <is>
          <t>1color:￥820
2colors:￥1640
3colors:￥2460</t>
        </is>
      </c>
      <c r="H33" s="125" t="n">
        <v>2.9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3" t="inlineStr">
        <is>
          <t>1color:￥820
2colors:￥1640
3colors:￥2460</t>
        </is>
      </c>
      <c r="H34" s="118" t="n">
        <v>2.3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O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inlineStr">
        <is>
          <t>温州亚森制袋</t>
        </is>
      </c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</row>
    <row r="7" ht="50" customHeight="1" s="91">
      <c r="A7" s="58" t="inlineStr">
        <is>
          <t>H15*D5*W20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31" t="n">
        <v>0.7</v>
      </c>
      <c r="I7" s="107" t="n">
        <v>500</v>
      </c>
      <c r="J7" s="107" t="n">
        <v>36</v>
      </c>
      <c r="K7" s="107" t="n">
        <v>36</v>
      </c>
      <c r="L7" s="102" t="n">
        <v>48</v>
      </c>
      <c r="M7" s="108">
        <f>PRODUCT(J7:L15)/1000000</f>
        <v/>
      </c>
      <c r="N7" s="107" t="n">
        <v>7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32" t="n">
        <v>0.52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32" t="n">
        <v>0.4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32" t="n">
        <v>0.85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32" t="n">
        <v>0.64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32" t="n">
        <v>0.5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32" t="n">
        <v>1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32" t="n">
        <v>0.77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32" t="n">
        <v>0.6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32" t="n">
        <v>1.35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32" t="n">
        <v>0.66</v>
      </c>
      <c r="I17" s="107" t="n">
        <v>500</v>
      </c>
      <c r="J17" s="107" t="n">
        <v>36</v>
      </c>
      <c r="K17" s="107" t="n">
        <v>25</v>
      </c>
      <c r="L17" s="102" t="n">
        <v>48</v>
      </c>
      <c r="M17" s="108">
        <f>PRODUCT(J17:L25)/1000000</f>
        <v/>
      </c>
      <c r="N17" s="107" t="n">
        <v>5.2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32" t="n">
        <v>0.5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32" t="n">
        <v>0.4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32" t="n">
        <v>0.8100000000000001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32" t="n">
        <v>0.62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32" t="n">
        <v>0.5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32" t="n">
        <v>0.96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32" t="n">
        <v>0.75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32" t="n">
        <v>0.6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33" t="n">
        <v>1.3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H15*D5*W20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67" t="inlineStr">
        <is>
          <t>1color:￥300
2colors:￥600
3colors:￥900</t>
        </is>
      </c>
      <c r="H27" s="134" t="n">
        <v>0.67</v>
      </c>
      <c r="I27" s="122" t="n">
        <v>500</v>
      </c>
      <c r="J27" s="122" t="n">
        <v>36</v>
      </c>
      <c r="K27" s="122" t="n">
        <v>36</v>
      </c>
      <c r="L27" s="120" t="n">
        <v>48</v>
      </c>
      <c r="M27" s="123">
        <f>PRODUCT(J27:L30)/1000000</f>
        <v/>
      </c>
      <c r="N27" s="122" t="n">
        <v>7</v>
      </c>
      <c r="O27" s="82" t="inlineStr">
        <is>
          <t>logo颜色对成本没有影响，但是要收取版费
版费：300元/色
The number of logo colors does not affect the cost, but printing costs will be charged
Printing cost: 
￥300/color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45" t="inlineStr">
        <is>
          <t>1color:￥300
2colors:￥600
3colors:￥900</t>
        </is>
      </c>
      <c r="H28" s="135" t="n">
        <v>0.59</v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45" t="inlineStr">
        <is>
          <t>1color:￥300
2colors:￥600
3colors:￥900</t>
        </is>
      </c>
      <c r="H29" s="135" t="n">
        <v>2.23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45" t="inlineStr">
        <is>
          <t>1color:￥300
2colors:￥600
3colors:￥900</t>
        </is>
      </c>
      <c r="H30" s="135" t="n">
        <v>1.35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45" t="inlineStr">
        <is>
          <t>1color:￥300
2colors:￥600
3colors:￥900</t>
        </is>
      </c>
      <c r="H31" s="135" t="n">
        <v>0.62</v>
      </c>
      <c r="I31" s="126" t="n">
        <v>500</v>
      </c>
      <c r="J31" s="126" t="n">
        <v>36</v>
      </c>
      <c r="K31" s="126" t="n">
        <v>25</v>
      </c>
      <c r="L31" s="127" t="n">
        <v>48</v>
      </c>
      <c r="M31" s="128">
        <f>PRODUCT(J31:L34)/1000000</f>
        <v/>
      </c>
      <c r="N31" s="126" t="n">
        <v>5.2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45" t="inlineStr">
        <is>
          <t>1color:￥300
2colors:￥600
3colors:￥900</t>
        </is>
      </c>
      <c r="H32" s="135" t="n">
        <v>0.55</v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45" t="inlineStr">
        <is>
          <t>1color:￥300
2colors:￥600
3colors:￥900</t>
        </is>
      </c>
      <c r="H33" s="135" t="n">
        <v>2.15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2" t="inlineStr">
        <is>
          <t>1color:￥300
2colors:￥600
3colors:￥900</t>
        </is>
      </c>
      <c r="H34" s="136" t="n">
        <v>1.3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inlineStr">
        <is>
          <t>浙江华庆塑业有限公司</t>
        </is>
      </c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</row>
    <row r="7" ht="50" customHeight="1" s="91">
      <c r="A7" s="58" t="inlineStr">
        <is>
          <t>H15*D5*W20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31" t="n">
        <v>0.7</v>
      </c>
      <c r="I7" s="107" t="n">
        <v>500</v>
      </c>
      <c r="J7" s="107" t="n">
        <v>36</v>
      </c>
      <c r="K7" s="107" t="n">
        <v>36</v>
      </c>
      <c r="L7" s="102" t="n">
        <v>48</v>
      </c>
      <c r="M7" s="108">
        <f>PRODUCT(J7:L15)/1000000</f>
        <v/>
      </c>
      <c r="N7" s="107" t="n">
        <v>7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32" t="n">
        <v>0.52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32" t="n">
        <v>0.4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32" t="n">
        <v>0.85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32" t="n">
        <v>0.64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32" t="n">
        <v>0.5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32" t="n">
        <v>1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32" t="n">
        <v>0.77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32" t="n">
        <v>0.6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32" t="n">
        <v>1.35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32" t="n">
        <v>0.66</v>
      </c>
      <c r="I17" s="107" t="n">
        <v>500</v>
      </c>
      <c r="J17" s="107" t="n">
        <v>36</v>
      </c>
      <c r="K17" s="107" t="n">
        <v>25</v>
      </c>
      <c r="L17" s="102" t="n">
        <v>48</v>
      </c>
      <c r="M17" s="108">
        <f>PRODUCT(J17:L25)/1000000</f>
        <v/>
      </c>
      <c r="N17" s="107" t="n">
        <v>5.2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32" t="n">
        <v>0.5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32" t="n">
        <v>0.4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32" t="n">
        <v>0.8100000000000001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32" t="n">
        <v>0.62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32" t="n">
        <v>0.5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32" t="n">
        <v>0.96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32" t="n">
        <v>0.75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32" t="n">
        <v>0.6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33" t="n">
        <v>1.3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H15*D5*W20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67" t="inlineStr">
        <is>
          <t>1color:￥300
2colors:￥600
3colors:￥900</t>
        </is>
      </c>
      <c r="H27" s="134" t="n">
        <v>0.67</v>
      </c>
      <c r="I27" s="122" t="n">
        <v>500</v>
      </c>
      <c r="J27" s="122" t="n">
        <v>36</v>
      </c>
      <c r="K27" s="122" t="n">
        <v>36</v>
      </c>
      <c r="L27" s="120" t="n">
        <v>48</v>
      </c>
      <c r="M27" s="123">
        <f>PRODUCT(J27:L30)/1000000</f>
        <v/>
      </c>
      <c r="N27" s="122" t="n">
        <v>7</v>
      </c>
      <c r="O27" s="82" t="inlineStr">
        <is>
          <t>logo颜色对成本没有影响，但是要收取版费
版费：300元/色
The number of logo colors does not affect the cost, but printing costs will be charged
Printing cost: 
￥300/color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45" t="inlineStr">
        <is>
          <t>1color:￥300
2colors:￥600
3colors:￥900</t>
        </is>
      </c>
      <c r="H28" s="135" t="n">
        <v>0.59</v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45" t="inlineStr">
        <is>
          <t>1color:￥300
2colors:￥600
3colors:￥900</t>
        </is>
      </c>
      <c r="H29" s="135" t="n">
        <v>2.23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45" t="inlineStr">
        <is>
          <t>1color:￥300
2colors:￥600
3colors:￥900</t>
        </is>
      </c>
      <c r="H30" s="135" t="n">
        <v>1.35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45" t="inlineStr">
        <is>
          <t>1color:￥300
2colors:￥600
3colors:￥900</t>
        </is>
      </c>
      <c r="H31" s="135" t="n">
        <v>0.62</v>
      </c>
      <c r="I31" s="126" t="n">
        <v>500</v>
      </c>
      <c r="J31" s="126" t="n">
        <v>36</v>
      </c>
      <c r="K31" s="126" t="n">
        <v>25</v>
      </c>
      <c r="L31" s="127" t="n">
        <v>48</v>
      </c>
      <c r="M31" s="128">
        <f>PRODUCT(J31:L34)/1000000</f>
        <v/>
      </c>
      <c r="N31" s="126" t="n">
        <v>5.2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45" t="inlineStr">
        <is>
          <t>1color:￥300
2colors:￥600
3colors:￥900</t>
        </is>
      </c>
      <c r="H32" s="135" t="n">
        <v>0.55</v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45" t="inlineStr">
        <is>
          <t>1color:￥300
2colors:￥600
3colors:￥900</t>
        </is>
      </c>
      <c r="H33" s="135" t="n">
        <v>2.15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2" t="inlineStr">
        <is>
          <t>1color:￥300
2colors:￥600
3colors:￥900</t>
        </is>
      </c>
      <c r="H34" s="136" t="n">
        <v>1.3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Q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3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inlineStr">
        <is>
          <t>温州亚森制袋/浙江华庆塑业有限公司</t>
        </is>
      </c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  <c r="P5" s="64" t="inlineStr">
        <is>
          <t>温州亚森制袋</t>
        </is>
      </c>
      <c r="Q5" s="63" t="inlineStr">
        <is>
          <t>浙江华庆塑业有限公司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  <c r="P6" s="61" t="n"/>
      <c r="Q6" s="62" t="n"/>
    </row>
    <row r="7" ht="50" customHeight="1" s="91">
      <c r="A7" s="58" t="inlineStr">
        <is>
          <t>H35*D10*W40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25" t="n">
        <v>1.06</v>
      </c>
      <c r="I7" s="107" t="n">
        <v>250</v>
      </c>
      <c r="J7" s="107" t="n">
        <v>55</v>
      </c>
      <c r="K7" s="107" t="n">
        <v>40</v>
      </c>
      <c r="L7" s="102" t="n">
        <v>50</v>
      </c>
      <c r="M7" s="108">
        <f>PRODUCT(J7:L15)/1000000</f>
        <v/>
      </c>
      <c r="N7" s="107" t="n">
        <v>11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29" t="n">
        <v>0.8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29" t="n">
        <v>0.75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25" t="n">
        <v>1.21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29" t="n">
        <v>0.85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29" t="n">
        <v>0.8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25" t="n">
        <v>1.36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29" t="n">
        <v>0.95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29" t="n">
        <v>0.9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25" t="n">
        <v>1.7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25" t="n">
        <v>0.92</v>
      </c>
      <c r="I17" s="107" t="n">
        <v>250</v>
      </c>
      <c r="J17" s="107" t="n">
        <v>44</v>
      </c>
      <c r="K17" s="107" t="n">
        <v>40</v>
      </c>
      <c r="L17" s="102" t="n">
        <v>48</v>
      </c>
      <c r="M17" s="108">
        <f>PRODUCT(J17:L25)/1000000</f>
        <v/>
      </c>
      <c r="N17" s="107" t="n">
        <v>10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25" t="n">
        <v>0.77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25" t="n">
        <v>0.67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25" t="n">
        <v>1.07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29" t="n">
        <v>0.83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25" t="n">
        <v>0.77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25" t="n">
        <v>1.22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29" t="n">
        <v>0.93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25" t="n">
        <v>0.87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18" t="n">
        <v>1.65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H35*D10*W40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54" t="inlineStr">
        <is>
          <t>1color:￥405
2colors:￥810
3colors:￥1215</t>
        </is>
      </c>
      <c r="H27" s="130" t="n">
        <v>0.89</v>
      </c>
      <c r="I27" s="122" t="n">
        <v>250</v>
      </c>
      <c r="J27" s="122" t="n">
        <v>55</v>
      </c>
      <c r="K27" s="122" t="n">
        <v>40</v>
      </c>
      <c r="L27" s="120" t="n">
        <v>50</v>
      </c>
      <c r="M27" s="123">
        <f>PRODUCT(J27:L30)/1000000</f>
        <v/>
      </c>
      <c r="N27" s="122" t="n">
        <v>11</v>
      </c>
      <c r="O27" s="82" t="inlineStr">
        <is>
          <t>logo颜色对成本没有影响，但是要收取版费
版费：元/色
The number of logo colors does not affect the cost, but printing costs will be charged
Printing cost: 
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54" t="inlineStr">
        <is>
          <t>1color:￥405
2colors:￥810
3colors:￥1215</t>
        </is>
      </c>
      <c r="H28" s="129" t="n">
        <v>0.87</v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51" t="inlineStr">
        <is>
          <t>1color:￥460
2colors:￥920
3colors:￥1380</t>
        </is>
      </c>
      <c r="H29" s="125" t="n">
        <v>2.7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51" t="inlineStr">
        <is>
          <t>1color:￥460
2colors:￥920
3colors:￥1380</t>
        </is>
      </c>
      <c r="H30" s="125" t="n">
        <v>1.83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54" t="inlineStr">
        <is>
          <t>1color:￥405
2colors:￥810
3colors:￥1215</t>
        </is>
      </c>
      <c r="H31" s="129" t="n">
        <v>0.87</v>
      </c>
      <c r="I31" s="126" t="n">
        <v>250</v>
      </c>
      <c r="J31" s="126" t="n">
        <v>44</v>
      </c>
      <c r="K31" s="126" t="n">
        <v>40</v>
      </c>
      <c r="L31" s="127" t="n">
        <v>48</v>
      </c>
      <c r="M31" s="128">
        <f>PRODUCT(J31:L34)/1000000</f>
        <v/>
      </c>
      <c r="N31" s="126" t="n">
        <v>10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54" t="inlineStr">
        <is>
          <t>1color:￥405
2colors:￥810
3colors:￥1215</t>
        </is>
      </c>
      <c r="H32" s="129" t="n">
        <v>0.85</v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51" t="inlineStr">
        <is>
          <t>1color:￥460
2colors:￥920
3colors:￥1380</t>
        </is>
      </c>
      <c r="H33" s="125" t="n">
        <v>2.6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3" t="inlineStr">
        <is>
          <t>1color:￥460
2colors:￥920
3colors:￥1380</t>
        </is>
      </c>
      <c r="H34" s="118" t="n">
        <v>1.78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O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n"/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</row>
    <row r="7" ht="50" customHeight="1" s="91">
      <c r="A7" s="58" t="inlineStr">
        <is>
          <t>H40*D15*W45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25" t="n">
        <v>1.29</v>
      </c>
      <c r="I7" s="107" t="n">
        <v>250</v>
      </c>
      <c r="J7" s="107" t="n">
        <v>55</v>
      </c>
      <c r="K7" s="107" t="n">
        <v>49</v>
      </c>
      <c r="L7" s="102" t="n">
        <v>50</v>
      </c>
      <c r="M7" s="108">
        <f>PRODUCT(J7:L15)/1000000</f>
        <v/>
      </c>
      <c r="N7" s="107" t="n">
        <v>14.5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29" t="n">
        <v>1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29" t="n">
        <v>0.95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25" t="n">
        <v>1.44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29" t="n">
        <v>1.05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29" t="n">
        <v>1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25" t="n">
        <v>1.59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29" t="n">
        <v>1.15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29" t="n">
        <v>1.1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25" t="n">
        <v>1.88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25" t="n">
        <v>1.11</v>
      </c>
      <c r="I17" s="107" t="n">
        <v>250</v>
      </c>
      <c r="J17" s="107" t="n">
        <v>50</v>
      </c>
      <c r="K17" s="107" t="n">
        <v>44</v>
      </c>
      <c r="L17" s="102" t="n">
        <v>48</v>
      </c>
      <c r="M17" s="108">
        <f>PRODUCT(J17:L25)/1000000</f>
        <v/>
      </c>
      <c r="N17" s="107" t="n">
        <v>13.2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25" t="n">
        <v>0.97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25" t="n">
        <v>0.87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25" t="n">
        <v>1.26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29" t="n">
        <v>1.03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25" t="n">
        <v>0.97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25" t="n">
        <v>1.41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29" t="n">
        <v>1.13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25" t="n">
        <v>1.07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18" t="n">
        <v>1.82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H40*D15*W45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54" t="inlineStr">
        <is>
          <t>1color:￥570
2colors:￥1140
3colors:￥1710</t>
        </is>
      </c>
      <c r="H27" s="130" t="n">
        <v>1.2</v>
      </c>
      <c r="I27" s="122" t="n">
        <v>250</v>
      </c>
      <c r="J27" s="122" t="n">
        <v>55</v>
      </c>
      <c r="K27" s="122" t="n">
        <v>49</v>
      </c>
      <c r="L27" s="120" t="n">
        <v>50</v>
      </c>
      <c r="M27" s="123">
        <f>PRODUCT(J27:L30)/1000000</f>
        <v/>
      </c>
      <c r="N27" s="122" t="n">
        <v>14.5</v>
      </c>
      <c r="O27" s="82" t="inlineStr">
        <is>
          <t>logo颜色对成本没有影响，但是要收取版费
版费：元/色
The number of logo colors does not affect the cost, but printing costs will be charged
Printing cost: 
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54" t="inlineStr">
        <is>
          <t>1color:￥570
2colors:￥1140
3colors:￥1710</t>
        </is>
      </c>
      <c r="H28" s="129" t="n">
        <v>1.18</v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51" t="inlineStr">
        <is>
          <t>1color:￥600
2colors:￥1200
3colors:￥1800</t>
        </is>
      </c>
      <c r="H29" s="125" t="n">
        <v>2.8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51" t="inlineStr">
        <is>
          <t>1color:￥600
2colors:￥1200
3colors:￥1800</t>
        </is>
      </c>
      <c r="H30" s="125" t="n">
        <v>2.1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54" t="inlineStr">
        <is>
          <t>1color:￥570
2colors:￥1140
3colors:￥1710</t>
        </is>
      </c>
      <c r="H31" s="129" t="n">
        <v>1.18</v>
      </c>
      <c r="I31" s="126" t="n">
        <v>250</v>
      </c>
      <c r="J31" s="126" t="n">
        <v>50</v>
      </c>
      <c r="K31" s="126" t="n">
        <v>44</v>
      </c>
      <c r="L31" s="127" t="n">
        <v>48</v>
      </c>
      <c r="M31" s="128">
        <f>PRODUCT(J31:L34)/1000000</f>
        <v/>
      </c>
      <c r="N31" s="126" t="n">
        <v>13.2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51" t="inlineStr">
        <is>
          <t>1color:￥600
2colors:￥1200
3colors:￥1800</t>
        </is>
      </c>
      <c r="H32" s="125" t="n">
        <v>1.14</v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51" t="inlineStr">
        <is>
          <t>1color:￥600
2colors:￥1200
3colors:￥1800</t>
        </is>
      </c>
      <c r="H33" s="125" t="n">
        <v>2.75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3" t="inlineStr">
        <is>
          <t>1color:￥600
2colors:￥1200
3colors:￥1800</t>
        </is>
      </c>
      <c r="H34" s="118" t="n">
        <v>2.05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O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n"/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</row>
    <row r="7" ht="50" customHeight="1" s="91">
      <c r="A7" s="58" t="inlineStr">
        <is>
          <t>H50*D20*W60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31" t="n">
        <v>2.9</v>
      </c>
      <c r="I7" s="107" t="n">
        <v>100</v>
      </c>
      <c r="J7" s="107" t="n">
        <v>75</v>
      </c>
      <c r="K7" s="107" t="n">
        <v>55</v>
      </c>
      <c r="L7" s="102" t="n">
        <v>20</v>
      </c>
      <c r="M7" s="108">
        <f>PRODUCT(J7:L15)/1000000</f>
        <v/>
      </c>
      <c r="N7" s="107" t="n">
        <v>10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32" t="n">
        <v>2.8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32" t="n">
        <v>2.72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32" t="n">
        <v>3.05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32" t="n">
        <v>2.92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32" t="n">
        <v>2.82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32" t="n">
        <v>3.2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32" t="n">
        <v>3.05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32" t="n">
        <v>2.92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32" t="n">
        <v>2.8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32" t="n">
        <v>2.81</v>
      </c>
      <c r="I17" s="107" t="n">
        <v>100</v>
      </c>
      <c r="J17" s="107" t="n">
        <v>65</v>
      </c>
      <c r="K17" s="107" t="n">
        <v>55</v>
      </c>
      <c r="L17" s="102" t="n">
        <v>20</v>
      </c>
      <c r="M17" s="108">
        <f>PRODUCT(J17:L25)/1000000</f>
        <v/>
      </c>
      <c r="N17" s="107" t="n">
        <v>9.199999999999999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32" t="n">
        <v>2.7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32" t="n">
        <v>2.6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32" t="n">
        <v>2.96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32" t="n">
        <v>2.82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32" t="n">
        <v>2.7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32" t="n">
        <v>3.11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32" t="n">
        <v>2.95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32" t="n">
        <v>2.8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33" t="n">
        <v>2.72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H50*D20*W60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67" t="inlineStr">
        <is>
          <t>non</t>
        </is>
      </c>
      <c r="H27" s="134" t="inlineStr">
        <is>
          <t>non</t>
        </is>
      </c>
      <c r="I27" s="122" t="n">
        <v>100</v>
      </c>
      <c r="J27" s="122" t="n">
        <v>75</v>
      </c>
      <c r="K27" s="122" t="n">
        <v>55</v>
      </c>
      <c r="L27" s="120" t="n">
        <v>20</v>
      </c>
      <c r="M27" s="123">
        <f>PRODUCT(J27:L30)/1000000</f>
        <v/>
      </c>
      <c r="N27" s="122" t="n">
        <v>10</v>
      </c>
      <c r="O27" s="82" t="inlineStr">
        <is>
          <t>logo颜色对成本没有影响，但是要收取版费
版费：760元/色
The number of logo colors does not affect the cost, but printing costs will be charged
Printing cost: 
￥760/color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45" t="inlineStr">
        <is>
          <t>non</t>
        </is>
      </c>
      <c r="H28" s="135" t="inlineStr">
        <is>
          <t>non</t>
        </is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45" t="inlineStr">
        <is>
          <t>1color:￥760
2colors:￥1520
3colors:￥2280</t>
        </is>
      </c>
      <c r="H29" s="135" t="n">
        <v>3.35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45" t="inlineStr">
        <is>
          <t>1color:￥760
2colors:￥1520
3colors:￥2280</t>
        </is>
      </c>
      <c r="H30" s="135" t="n">
        <v>3.1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45" t="inlineStr">
        <is>
          <t>non</t>
        </is>
      </c>
      <c r="H31" s="135" t="inlineStr">
        <is>
          <t>non</t>
        </is>
      </c>
      <c r="I31" s="126" t="n">
        <v>100</v>
      </c>
      <c r="J31" s="126" t="n">
        <v>65</v>
      </c>
      <c r="K31" s="126" t="n">
        <v>55</v>
      </c>
      <c r="L31" s="127" t="n">
        <v>20</v>
      </c>
      <c r="M31" s="128">
        <f>PRODUCT(J31:L34)/1000000</f>
        <v/>
      </c>
      <c r="N31" s="126" t="n">
        <v>9.199999999999999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45" t="inlineStr">
        <is>
          <t>non</t>
        </is>
      </c>
      <c r="H32" s="135" t="inlineStr">
        <is>
          <t>non</t>
        </is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45" t="inlineStr">
        <is>
          <t>1color:￥760
2colors:￥1520
3colors:￥2280</t>
        </is>
      </c>
      <c r="H33" s="135" t="n">
        <v>3.29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2" t="inlineStr">
        <is>
          <t>1color:￥760
2colors:￥1520
3colors:￥2280</t>
        </is>
      </c>
      <c r="H34" s="136" t="n">
        <v>3.05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O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n"/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</row>
    <row r="7" ht="50" customHeight="1" s="91">
      <c r="A7" s="58" t="inlineStr">
        <is>
          <t>H30*W40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31" t="n">
        <v>0.76</v>
      </c>
      <c r="I7" s="107" t="n">
        <v>500</v>
      </c>
      <c r="J7" s="107" t="n">
        <v>55</v>
      </c>
      <c r="K7" s="107" t="n">
        <v>34</v>
      </c>
      <c r="L7" s="102" t="n">
        <v>50</v>
      </c>
      <c r="M7" s="108">
        <f>PRODUCT(J7:L15)/1000000</f>
        <v/>
      </c>
      <c r="N7" s="107" t="n">
        <v>13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32" t="n">
        <v>0.6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32" t="n">
        <v>0.51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32" t="n">
        <v>0.91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32" t="n">
        <v>0.72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32" t="n">
        <v>0.61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32" t="n">
        <v>1.06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32" t="n">
        <v>0.85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32" t="n">
        <v>0.71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32" t="n">
        <v>1.4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32" t="n">
        <v>0.7</v>
      </c>
      <c r="I17" s="107" t="n">
        <v>500</v>
      </c>
      <c r="J17" s="107" t="n">
        <v>44</v>
      </c>
      <c r="K17" s="107" t="n">
        <v>34</v>
      </c>
      <c r="L17" s="102" t="n">
        <v>50</v>
      </c>
      <c r="M17" s="108">
        <f>PRODUCT(J17:L25)/1000000</f>
        <v/>
      </c>
      <c r="N17" s="107" t="n">
        <v>11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32" t="n">
        <v>0.55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32" t="n">
        <v>0.46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32" t="n">
        <v>0.85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32" t="n">
        <v>0.67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32" t="n">
        <v>0.5600000000000001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32" t="n">
        <v>1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32" t="n">
        <v>0.8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32" t="n">
        <v>0.66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33" t="n">
        <v>1.35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H30*W40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67" t="inlineStr">
        <is>
          <t>1color:￥300
2colors:￥600
3colors:￥900</t>
        </is>
      </c>
      <c r="H27" s="134" t="n">
        <v>0.66</v>
      </c>
      <c r="I27" s="122" t="n">
        <v>500</v>
      </c>
      <c r="J27" s="122" t="n">
        <v>55</v>
      </c>
      <c r="K27" s="122" t="n">
        <v>34</v>
      </c>
      <c r="L27" s="120" t="n">
        <v>50</v>
      </c>
      <c r="M27" s="123">
        <f>PRODUCT(J27:L30)/1000000</f>
        <v/>
      </c>
      <c r="N27" s="122" t="n">
        <v>13</v>
      </c>
      <c r="O27" s="82" t="inlineStr">
        <is>
          <t>logo颜色对成本没有影响，但是要收取版费
版费：300元/色
The number of logo colors does not affect the cost, but printing costs will be charged
Printing cost: 
￥300/color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45" t="inlineStr">
        <is>
          <t>1color:￥300
2colors:￥600
3colors:￥900</t>
        </is>
      </c>
      <c r="H28" s="135" t="n">
        <v>0.59</v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45" t="inlineStr">
        <is>
          <t>1color:￥300
2colors:￥600
3colors:￥900</t>
        </is>
      </c>
      <c r="H29" s="135" t="n">
        <v>2.2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45" t="inlineStr">
        <is>
          <t>1color:￥300
2colors:￥600
3colors:￥900</t>
        </is>
      </c>
      <c r="H30" s="135" t="n">
        <v>1.38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45" t="inlineStr">
        <is>
          <t>1color:￥300
2colors:￥600
3colors:￥900</t>
        </is>
      </c>
      <c r="H31" s="135" t="n">
        <v>0.6</v>
      </c>
      <c r="I31" s="126" t="n">
        <v>500</v>
      </c>
      <c r="J31" s="126" t="n">
        <v>44</v>
      </c>
      <c r="K31" s="126" t="n">
        <v>34</v>
      </c>
      <c r="L31" s="127" t="n">
        <v>50</v>
      </c>
      <c r="M31" s="128">
        <f>PRODUCT(J31:L34)/1000000</f>
        <v/>
      </c>
      <c r="N31" s="126" t="n">
        <v>11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45" t="inlineStr">
        <is>
          <t>1color:￥300
2colors:￥600
3colors:￥900</t>
        </is>
      </c>
      <c r="H32" s="135" t="n">
        <v>0.54</v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45" t="inlineStr">
        <is>
          <t>1color:￥300
2colors:￥600
3colors:￥900</t>
        </is>
      </c>
      <c r="H33" s="135" t="n">
        <v>2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2" t="inlineStr">
        <is>
          <t>1color:￥300
2colors:￥600
3colors:￥900</t>
        </is>
      </c>
      <c r="H34" s="136" t="n">
        <v>1.3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O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n"/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</row>
    <row r="7" ht="50" customHeight="1" s="91">
      <c r="A7" s="58" t="inlineStr">
        <is>
          <t>H15*W20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31" t="n">
        <v>0.58</v>
      </c>
      <c r="I7" s="107" t="n">
        <v>500</v>
      </c>
      <c r="J7" s="107" t="n">
        <v>30</v>
      </c>
      <c r="K7" s="107" t="n">
        <v>25</v>
      </c>
      <c r="L7" s="102" t="n">
        <v>50</v>
      </c>
      <c r="M7" s="108">
        <f>PRODUCT(J7:L15)/1000000</f>
        <v/>
      </c>
      <c r="N7" s="107" t="n">
        <v>6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32" t="n">
        <v>0.41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32" t="n">
        <v>0.33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32" t="n">
        <v>0.73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32" t="n">
        <v>0.53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32" t="n">
        <v>0.43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32" t="n">
        <v>0.88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32" t="n">
        <v>0.66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32" t="n">
        <v>0.53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32" t="n">
        <v>1.3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32" t="n">
        <v>0.53</v>
      </c>
      <c r="I17" s="107" t="n">
        <v>500</v>
      </c>
      <c r="J17" s="107" t="n">
        <v>24</v>
      </c>
      <c r="K17" s="107" t="n">
        <v>20</v>
      </c>
      <c r="L17" s="102" t="n">
        <v>50</v>
      </c>
      <c r="M17" s="108">
        <f>PRODUCT(J17:L25)/1000000</f>
        <v/>
      </c>
      <c r="N17" s="107" t="n">
        <v>4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32" t="n">
        <v>0.55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32" t="n">
        <v>0.37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32" t="n">
        <v>0.68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32" t="n">
        <v>0.67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32" t="n">
        <v>0.47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32" t="n">
        <v>0.83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32" t="n">
        <v>0.8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32" t="n">
        <v>0.57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33" t="n">
        <v>1.2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H15*W20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67" t="inlineStr">
        <is>
          <t>1color:￥300
2colors:￥600
3colors:￥900</t>
        </is>
      </c>
      <c r="H27" s="134" t="n">
        <v>0.49</v>
      </c>
      <c r="I27" s="122" t="n">
        <v>500</v>
      </c>
      <c r="J27" s="122" t="n">
        <v>30</v>
      </c>
      <c r="K27" s="122" t="n">
        <v>25</v>
      </c>
      <c r="L27" s="120" t="n">
        <v>50</v>
      </c>
      <c r="M27" s="123">
        <f>PRODUCT(J27:L30)/1000000</f>
        <v/>
      </c>
      <c r="N27" s="122" t="n">
        <v>6</v>
      </c>
      <c r="O27" s="82" t="inlineStr">
        <is>
          <t>logo颜色对成本没有影响，但是要收取版费
版费：300元/色
The number of logo colors does not affect the cost, but printing costs will be charged
Printing cost: 
￥300/color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45" t="inlineStr">
        <is>
          <t>1color:￥300
2colors:￥600
3colors:￥900</t>
        </is>
      </c>
      <c r="H28" s="135" t="n">
        <v>0.35</v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45" t="inlineStr">
        <is>
          <t>1color:￥300
2colors:￥600
3colors:￥900</t>
        </is>
      </c>
      <c r="H29" s="135" t="n">
        <v>2.02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45" t="inlineStr">
        <is>
          <t>1color:￥300
2colors:￥600
3colors:￥900</t>
        </is>
      </c>
      <c r="H30" s="135" t="n">
        <v>1.25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45" t="inlineStr">
        <is>
          <t>1color:￥300
2colors:￥600
3colors:￥900</t>
        </is>
      </c>
      <c r="H31" s="135" t="n">
        <v>0.46</v>
      </c>
      <c r="I31" s="126" t="n">
        <v>500</v>
      </c>
      <c r="J31" s="126" t="n">
        <v>24</v>
      </c>
      <c r="K31" s="126" t="n">
        <v>20</v>
      </c>
      <c r="L31" s="127" t="n">
        <v>50</v>
      </c>
      <c r="M31" s="128">
        <f>PRODUCT(J31:L34)/1000000</f>
        <v/>
      </c>
      <c r="N31" s="126" t="n">
        <v>4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45" t="inlineStr">
        <is>
          <t>1color:￥300
2colors:￥600
3colors:￥900</t>
        </is>
      </c>
      <c r="H32" s="135" t="n">
        <v>0.32</v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45" t="inlineStr">
        <is>
          <t>1color:￥300
2colors:￥600
3colors:￥900</t>
        </is>
      </c>
      <c r="H33" s="135" t="n">
        <v>1.98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2" t="inlineStr">
        <is>
          <t>1color:￥300
2colors:￥600
3colors:￥900</t>
        </is>
      </c>
      <c r="H34" s="136" t="n">
        <v>1.21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O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n"/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</row>
    <row r="7" ht="50" customHeight="1" s="91">
      <c r="A7" s="58" t="inlineStr">
        <is>
          <t>H8*W10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31" t="n">
        <v>0.75</v>
      </c>
      <c r="I7" s="107" t="n">
        <v>1000</v>
      </c>
      <c r="J7" s="107" t="n">
        <v>36</v>
      </c>
      <c r="K7" s="107" t="n">
        <v>26</v>
      </c>
      <c r="L7" s="102" t="n">
        <v>30</v>
      </c>
      <c r="M7" s="108">
        <f>PRODUCT(J7:L15)/1000000</f>
        <v/>
      </c>
      <c r="N7" s="107" t="n">
        <v>7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32" t="n">
        <v>0.71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32" t="n">
        <v>0.68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32" t="n">
        <v>0.9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32" t="n">
        <v>0.83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32" t="n">
        <v>0.78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32" t="n">
        <v>1.05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32" t="n">
        <v>0.96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32" t="n">
        <v>0.88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32" t="n">
        <v>1.3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32" t="n">
        <v>0.53</v>
      </c>
      <c r="I17" s="107" t="n">
        <v>600</v>
      </c>
      <c r="J17" s="107" t="n">
        <v>36</v>
      </c>
      <c r="K17" s="107" t="n">
        <v>20</v>
      </c>
      <c r="L17" s="102" t="n">
        <v>30</v>
      </c>
      <c r="M17" s="108">
        <f>PRODUCT(J17:L25)/1000000</f>
        <v/>
      </c>
      <c r="N17" s="107" t="n">
        <v>5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32" t="n">
        <v>0.55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32" t="n">
        <v>0.37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32" t="n">
        <v>0.68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32" t="n">
        <v>0.67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32" t="n">
        <v>0.47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32" t="n">
        <v>0.83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32" t="n">
        <v>0.8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32" t="n">
        <v>0.57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33" t="n">
        <v>1.2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H8*W10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67" t="inlineStr">
        <is>
          <t>1color:￥300
2colors:￥600
3colors:￥900</t>
        </is>
      </c>
      <c r="H27" s="134" t="inlineStr">
        <is>
          <t>non</t>
        </is>
      </c>
      <c r="I27" s="122" t="n">
        <v>1000</v>
      </c>
      <c r="J27" s="122" t="n">
        <v>36</v>
      </c>
      <c r="K27" s="122" t="n">
        <v>26</v>
      </c>
      <c r="L27" s="120" t="n">
        <v>30</v>
      </c>
      <c r="M27" s="123">
        <f>PRODUCT(J27:L30)/1000000</f>
        <v/>
      </c>
      <c r="N27" s="122" t="n">
        <v>7</v>
      </c>
      <c r="O27" s="82" t="inlineStr">
        <is>
          <t>logo颜色对成本没有影响，但是要收取版费
版费：300元/色
The number of logo colors does not affect the cost, but printing costs will be charged
Printing cost: 
￥300/color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45" t="inlineStr">
        <is>
          <t>1color:￥300
2colors:￥600
3colors:￥900</t>
        </is>
      </c>
      <c r="H28" s="135" t="inlineStr">
        <is>
          <t>non</t>
        </is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45" t="inlineStr">
        <is>
          <t>1color:￥300
2colors:￥600
3colors:￥900</t>
        </is>
      </c>
      <c r="H29" s="135" t="n">
        <v>1.9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45" t="inlineStr">
        <is>
          <t>1color:￥300
2colors:￥600
3colors:￥900</t>
        </is>
      </c>
      <c r="H30" s="135" t="n">
        <v>1.2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45" t="inlineStr">
        <is>
          <t>1color:￥300
2colors:￥600
3colors:￥900</t>
        </is>
      </c>
      <c r="H31" s="135" t="inlineStr">
        <is>
          <t>non</t>
        </is>
      </c>
      <c r="I31" s="126" t="n">
        <v>600</v>
      </c>
      <c r="J31" s="126" t="n">
        <v>30</v>
      </c>
      <c r="K31" s="126" t="n">
        <v>20</v>
      </c>
      <c r="L31" s="127" t="n">
        <v>30</v>
      </c>
      <c r="M31" s="128">
        <f>PRODUCT(J31:L34)/1000000</f>
        <v/>
      </c>
      <c r="N31" s="126" t="n">
        <v>5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45" t="inlineStr">
        <is>
          <t>1color:￥300
2colors:￥600
3colors:￥900</t>
        </is>
      </c>
      <c r="H32" s="135" t="inlineStr">
        <is>
          <t>non</t>
        </is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45" t="inlineStr">
        <is>
          <t>1color:￥300
2colors:￥600
3colors:￥900</t>
        </is>
      </c>
      <c r="H33" s="135" t="n">
        <v>1.84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2" t="inlineStr">
        <is>
          <t>1color:￥300
2colors:￥600
3colors:￥900</t>
        </is>
      </c>
      <c r="H34" s="136" t="n">
        <v>1.15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O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n"/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</row>
    <row r="7" ht="50" customHeight="1" s="91">
      <c r="A7" s="58" t="inlineStr">
        <is>
          <t>H10*W15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31" t="n">
        <v>0.78</v>
      </c>
      <c r="I7" s="107" t="n">
        <v>600</v>
      </c>
      <c r="J7" s="107" t="n">
        <v>36</v>
      </c>
      <c r="K7" s="107" t="n">
        <v>25</v>
      </c>
      <c r="L7" s="102" t="n">
        <v>20</v>
      </c>
      <c r="M7" s="108">
        <f>PRODUCT(J7:L15)/1000000</f>
        <v/>
      </c>
      <c r="N7" s="107" t="n">
        <v>4.5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32" t="n">
        <v>0.73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32" t="n">
        <v>0.71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32" t="n">
        <v>0.93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32" t="n">
        <v>0.85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32" t="n">
        <v>0.8100000000000001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32" t="n">
        <v>1.08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32" t="n">
        <v>0.98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32" t="n">
        <v>0.91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32" t="n">
        <v>1.14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32" t="n">
        <v>0.74</v>
      </c>
      <c r="I17" s="107" t="n">
        <v>600</v>
      </c>
      <c r="J17" s="107" t="n">
        <v>20</v>
      </c>
      <c r="K17" s="107" t="n">
        <v>14</v>
      </c>
      <c r="L17" s="102" t="n">
        <v>20</v>
      </c>
      <c r="M17" s="108">
        <f>PRODUCT(J17:L25)/1000000</f>
        <v/>
      </c>
      <c r="N17" s="107" t="n">
        <v>3.5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32" t="n">
        <v>0.71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32" t="n">
        <v>0.68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32" t="n">
        <v>0.89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32" t="n">
        <v>0.83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32" t="n">
        <v>0.78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32" t="n">
        <v>1.04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32" t="n">
        <v>0.96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32" t="n">
        <v>0.88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33" t="n">
        <v>1.1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H10*W15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67" t="inlineStr">
        <is>
          <t>non</t>
        </is>
      </c>
      <c r="H27" s="134" t="inlineStr">
        <is>
          <t>non</t>
        </is>
      </c>
      <c r="I27" s="122" t="n">
        <v>600</v>
      </c>
      <c r="J27" s="122" t="n">
        <v>36</v>
      </c>
      <c r="K27" s="122" t="n">
        <v>25</v>
      </c>
      <c r="L27" s="120" t="n">
        <v>20</v>
      </c>
      <c r="M27" s="123">
        <f>PRODUCT(J27:L30)/1000000</f>
        <v/>
      </c>
      <c r="N27" s="122" t="n">
        <v>4.5</v>
      </c>
      <c r="O27" s="82" t="inlineStr">
        <is>
          <t>logo颜色对成本没有影响，但是要收取版费
版费：300元/色
The number of logo colors does not affect the cost, but printing costs will be charged
Printing cost: 
￥300/color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45" t="inlineStr">
        <is>
          <t>non</t>
        </is>
      </c>
      <c r="H28" s="135" t="inlineStr">
        <is>
          <t>non</t>
        </is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45" t="inlineStr">
        <is>
          <t>1color:￥300
2colors:￥600
3colors:￥900</t>
        </is>
      </c>
      <c r="H29" s="135" t="n">
        <v>2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45" t="inlineStr">
        <is>
          <t>1color:￥300
2colors:￥600
3colors:￥900</t>
        </is>
      </c>
      <c r="H30" s="135" t="n">
        <v>1.28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45" t="inlineStr">
        <is>
          <t>non</t>
        </is>
      </c>
      <c r="H31" s="135" t="inlineStr">
        <is>
          <t>non</t>
        </is>
      </c>
      <c r="I31" s="126" t="n">
        <v>600</v>
      </c>
      <c r="J31" s="126" t="n">
        <v>20</v>
      </c>
      <c r="K31" s="126" t="n">
        <v>14</v>
      </c>
      <c r="L31" s="127" t="n">
        <v>20</v>
      </c>
      <c r="M31" s="128">
        <f>PRODUCT(J31:L34)/1000000</f>
        <v/>
      </c>
      <c r="N31" s="126" t="n">
        <v>3.5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45" t="inlineStr">
        <is>
          <t>non</t>
        </is>
      </c>
      <c r="H32" s="135" t="inlineStr">
        <is>
          <t>non</t>
        </is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45" t="inlineStr">
        <is>
          <t>1color:￥300
2colors:￥600
3colors:￥900</t>
        </is>
      </c>
      <c r="H33" s="135" t="n">
        <v>1.96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2" t="inlineStr">
        <is>
          <t>1color:￥300
2colors:￥600
3colors:￥900</t>
        </is>
      </c>
      <c r="H34" s="136" t="n">
        <v>1.24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O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n"/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</row>
    <row r="7" ht="50" customHeight="1" s="91">
      <c r="A7" s="58" t="inlineStr">
        <is>
          <t>H25*W25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31" t="n">
        <v>0.67</v>
      </c>
      <c r="I7" s="107" t="n">
        <v>500</v>
      </c>
      <c r="J7" s="107" t="n">
        <v>40</v>
      </c>
      <c r="K7" s="107" t="n">
        <v>30</v>
      </c>
      <c r="L7" s="102" t="n">
        <v>45</v>
      </c>
      <c r="M7" s="108">
        <f>PRODUCT(J7:L15)/1000000</f>
        <v/>
      </c>
      <c r="N7" s="107" t="n">
        <v>9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32" t="n">
        <v>0.63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32" t="n">
        <v>0.6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32" t="n">
        <v>0.82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32" t="n">
        <v>0.75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32" t="n">
        <v>0.7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32" t="n">
        <v>0.97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32" t="n">
        <v>0.88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32" t="n">
        <v>0.8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32" t="n">
        <v>1.37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32" t="n">
        <v>0.63</v>
      </c>
      <c r="I17" s="107" t="n">
        <v>500</v>
      </c>
      <c r="J17" s="107" t="n">
        <v>30</v>
      </c>
      <c r="K17" s="107" t="n">
        <v>30</v>
      </c>
      <c r="L17" s="102" t="n">
        <v>45</v>
      </c>
      <c r="M17" s="108">
        <f>PRODUCT(J17:L25)/1000000</f>
        <v/>
      </c>
      <c r="N17" s="107" t="n">
        <v>8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32" t="n">
        <v>0.59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32" t="n">
        <v>0.5600000000000001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32" t="n">
        <v>0.78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32" t="n">
        <v>0.71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32" t="n">
        <v>0.66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32" t="n">
        <v>0.93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32" t="n">
        <v>0.84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32" t="n">
        <v>0.76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33" t="n">
        <v>1.32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H25*W25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67" t="inlineStr">
        <is>
          <t>1color:￥300
2colors:￥600
3colors:￥900</t>
        </is>
      </c>
      <c r="H27" s="134" t="n">
        <v>0.65</v>
      </c>
      <c r="I27" s="122" t="n">
        <v>500</v>
      </c>
      <c r="J27" s="122" t="n">
        <v>40</v>
      </c>
      <c r="K27" s="122" t="n">
        <v>30</v>
      </c>
      <c r="L27" s="120" t="n">
        <v>45</v>
      </c>
      <c r="M27" s="123">
        <f>PRODUCT(J27:L30)/1000000</f>
        <v/>
      </c>
      <c r="N27" s="122" t="n">
        <v>9</v>
      </c>
      <c r="O27" s="82" t="inlineStr">
        <is>
          <t>logo颜色对成本没有影响，但是要收取版费
版费：300元/色
The number of logo colors does not affect the cost, but printing costs will be charged
Printing cost: 
￥300/color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45" t="inlineStr">
        <is>
          <t>1color:￥300
2colors:￥600
3colors:￥900</t>
        </is>
      </c>
      <c r="H28" s="135" t="n">
        <v>0.61</v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45" t="inlineStr">
        <is>
          <t>1color:￥300
2colors:￥600
3colors:￥900</t>
        </is>
      </c>
      <c r="H29" s="135" t="n">
        <v>2.17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45" t="inlineStr">
        <is>
          <t>1color:￥300
2colors:￥600
3colors:￥900</t>
        </is>
      </c>
      <c r="H30" s="135" t="n">
        <v>1.3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45" t="inlineStr">
        <is>
          <t>1color:￥300
2colors:￥600
3colors:￥900</t>
        </is>
      </c>
      <c r="H31" s="135" t="n">
        <v>0.6</v>
      </c>
      <c r="I31" s="126" t="n">
        <v>500</v>
      </c>
      <c r="J31" s="126" t="n">
        <v>30</v>
      </c>
      <c r="K31" s="126" t="n">
        <v>30</v>
      </c>
      <c r="L31" s="127" t="n">
        <v>45</v>
      </c>
      <c r="M31" s="128">
        <f>PRODUCT(J31:L34)/1000000</f>
        <v/>
      </c>
      <c r="N31" s="126" t="n">
        <v>8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45" t="inlineStr">
        <is>
          <t>1color:￥300
2colors:￥600
3colors:￥900</t>
        </is>
      </c>
      <c r="H32" s="135" t="n">
        <v>0.57</v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45" t="inlineStr">
        <is>
          <t>1color:￥300
2colors:￥600
3colors:￥900</t>
        </is>
      </c>
      <c r="H33" s="135" t="n">
        <v>2.12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2" t="inlineStr">
        <is>
          <t>1color:￥300
2colors:￥600
3colors:￥900</t>
        </is>
      </c>
      <c r="H34" s="136" t="n">
        <v>1.25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O34"/>
  <sheetViews>
    <sheetView showGridLines="1" workbookViewId="0">
      <pane ySplit="6" topLeftCell="A7" activePane="topLeft" state="frozen"/>
      <selection activeCell="A1" sqref="A1"/>
    </sheetView>
  </sheetViews>
  <sheetFormatPr baseColWidth="8" defaultColWidth="14" defaultRowHeight="19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23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 ht="87" customHeight="1" s="91">
      <c r="A1" s="92" t="inlineStr">
        <is>
          <t>Quotation 报价单
昆明圣西蒙泰贸易有限公司
Kunming Shengximengtai Trading Co., Ltd.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4" t="n"/>
    </row>
    <row r="2" ht="24" customHeight="1" s="91">
      <c r="A2" s="95" t="inlineStr">
        <is>
          <t>Supplier供应商:</t>
        </is>
      </c>
      <c r="B2" s="96" t="n"/>
      <c r="C2" s="97" t="n"/>
      <c r="D2" s="98" t="n"/>
      <c r="E2" s="96" t="n"/>
      <c r="F2" s="96" t="n"/>
      <c r="G2" s="96" t="n"/>
      <c r="H2" s="96" t="n"/>
      <c r="I2" s="96" t="n"/>
      <c r="J2" s="96" t="n"/>
      <c r="K2" s="96" t="n"/>
      <c r="L2" s="96" t="n"/>
      <c r="M2" s="96" t="n"/>
      <c r="N2" s="96" t="n"/>
      <c r="O2" s="97" t="n"/>
    </row>
    <row r="3" ht="24" customHeight="1" s="91">
      <c r="A3" s="95" t="inlineStr">
        <is>
          <t>Contact联系人:</t>
        </is>
      </c>
      <c r="B3" s="96" t="n"/>
      <c r="C3" s="97" t="n"/>
      <c r="D3" s="99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  <c r="N3" s="96" t="n"/>
      <c r="O3" s="97" t="n"/>
    </row>
    <row r="4" ht="24" customHeight="1" s="91">
      <c r="A4" s="95" t="inlineStr">
        <is>
          <t>Tel电话:</t>
        </is>
      </c>
      <c r="B4" s="96" t="n"/>
      <c r="C4" s="97" t="n"/>
      <c r="D4" s="99" t="n"/>
      <c r="E4" s="96" t="n"/>
      <c r="F4" s="96" t="n"/>
      <c r="G4" s="96" t="n"/>
      <c r="H4" s="96" t="n"/>
      <c r="I4" s="96" t="n"/>
      <c r="J4" s="96" t="n"/>
      <c r="K4" s="96" t="n"/>
      <c r="L4" s="96" t="n"/>
      <c r="M4" s="96" t="n"/>
      <c r="N4" s="96" t="n"/>
      <c r="O4" s="97" t="n"/>
    </row>
    <row r="5" ht="55" customHeight="1" s="91">
      <c r="A5" s="15" t="inlineStr">
        <is>
          <t>Size</t>
        </is>
      </c>
      <c r="B5" s="15" t="inlineStr">
        <is>
          <t>Handle</t>
        </is>
      </c>
      <c r="C5" s="15" t="inlineStr">
        <is>
          <t>Material</t>
        </is>
      </c>
      <c r="D5" s="15" t="inlineStr">
        <is>
          <t>Printing</t>
        </is>
      </c>
      <c r="E5" s="15" t="inlineStr">
        <is>
          <t>Finishing</t>
        </is>
      </c>
      <c r="F5" s="15" t="inlineStr">
        <is>
          <t>Quantity</t>
        </is>
      </c>
      <c r="G5" s="17" t="inlineStr">
        <is>
          <t>版费</t>
        </is>
      </c>
      <c r="H5" s="15" t="inlineStr">
        <is>
          <t>Price</t>
        </is>
      </c>
      <c r="I5" s="100" t="inlineStr">
        <is>
          <t>PACKING&amp;Carton Size(CM)
装箱数据</t>
        </is>
      </c>
      <c r="J5" s="96" t="n"/>
      <c r="K5" s="96" t="n"/>
      <c r="L5" s="96" t="n"/>
      <c r="M5" s="96" t="n"/>
      <c r="N5" s="97" t="n"/>
      <c r="O5" s="16" t="inlineStr">
        <is>
          <t>Remark</t>
        </is>
      </c>
    </row>
    <row r="6" ht="46" customHeight="1" s="91">
      <c r="A6" s="26" t="inlineStr">
        <is>
          <t>尺寸(CM)</t>
        </is>
      </c>
      <c r="B6" s="26" t="inlineStr">
        <is>
          <t>提手</t>
        </is>
      </c>
      <c r="C6" s="26" t="inlineStr">
        <is>
          <t>材质及克重</t>
        </is>
      </c>
      <c r="D6" s="26" t="inlineStr">
        <is>
          <t>logo印刷</t>
        </is>
      </c>
      <c r="E6" s="26" t="inlineStr">
        <is>
          <t>覆膜</t>
        </is>
      </c>
      <c r="F6" s="26" t="inlineStr">
        <is>
          <t>数量</t>
        </is>
      </c>
      <c r="G6" s="26" t="inlineStr">
        <is>
          <t>数量</t>
        </is>
      </c>
      <c r="H6" s="26" t="inlineStr">
        <is>
          <t>人民币价格</t>
        </is>
      </c>
      <c r="I6" s="26" t="inlineStr">
        <is>
          <t>装箱数量</t>
        </is>
      </c>
      <c r="J6" s="26" t="inlineStr">
        <is>
          <t>长</t>
        </is>
      </c>
      <c r="K6" s="26" t="inlineStr">
        <is>
          <t>宽</t>
        </is>
      </c>
      <c r="L6" s="26" t="inlineStr">
        <is>
          <t>高</t>
        </is>
      </c>
      <c r="M6" s="101" t="inlineStr">
        <is>
          <t>体积</t>
        </is>
      </c>
      <c r="N6" s="26" t="inlineStr">
        <is>
          <t>重量(KG)</t>
        </is>
      </c>
      <c r="O6" s="27" t="inlineStr">
        <is>
          <t>备注</t>
        </is>
      </c>
    </row>
    <row r="7" ht="50" customHeight="1" s="91">
      <c r="A7" s="58" t="inlineStr">
        <is>
          <t>H35*W50</t>
        </is>
      </c>
      <c r="B7" s="60" t="inlineStr">
        <is>
          <t>Handle</t>
        </is>
      </c>
      <c r="C7" s="105" t="inlineStr">
        <is>
          <t>80g无纺布</t>
        </is>
      </c>
      <c r="D7" s="56" t="inlineStr">
        <is>
          <t>1color</t>
        </is>
      </c>
      <c r="E7" s="105" t="inlineStr">
        <is>
          <t>non</t>
        </is>
      </c>
      <c r="F7" s="59" t="inlineStr">
        <is>
          <t>热压3000pcs</t>
        </is>
      </c>
      <c r="G7" s="56" t="n">
        <v>0</v>
      </c>
      <c r="H7" s="131" t="n">
        <v>1.23</v>
      </c>
      <c r="I7" s="107" t="n">
        <v>300</v>
      </c>
      <c r="J7" s="107" t="n">
        <v>60</v>
      </c>
      <c r="K7" s="107" t="n">
        <v>40</v>
      </c>
      <c r="L7" s="102" t="n">
        <v>25</v>
      </c>
      <c r="M7" s="108">
        <f>PRODUCT(J7:L15)/1000000</f>
        <v/>
      </c>
      <c r="N7" s="107" t="n">
        <v>12</v>
      </c>
      <c r="O7" s="57" t="inlineStr">
        <is>
          <t>无版费</t>
        </is>
      </c>
    </row>
    <row r="8" ht="50" customHeight="1" s="91">
      <c r="A8" s="109" t="n"/>
      <c r="B8" s="110" t="n"/>
      <c r="C8" s="111" t="n"/>
      <c r="D8" s="2" t="inlineStr">
        <is>
          <t>1color</t>
        </is>
      </c>
      <c r="E8" s="111" t="n"/>
      <c r="F8" s="34" t="inlineStr">
        <is>
          <t>热压5000pcs</t>
        </is>
      </c>
      <c r="G8" s="2" t="n">
        <v>0</v>
      </c>
      <c r="H8" s="132" t="n">
        <v>1.18</v>
      </c>
      <c r="I8" s="111" t="n"/>
      <c r="J8" s="111" t="n"/>
      <c r="K8" s="111" t="n"/>
      <c r="L8" s="111" t="n"/>
      <c r="M8" s="111" t="n"/>
      <c r="N8" s="111" t="n"/>
      <c r="O8" s="113" t="n"/>
    </row>
    <row r="9" ht="50" customHeight="1" s="91">
      <c r="A9" s="109" t="n"/>
      <c r="B9" s="110" t="n"/>
      <c r="C9" s="111" t="n"/>
      <c r="D9" s="2" t="inlineStr">
        <is>
          <t>1color</t>
        </is>
      </c>
      <c r="E9" s="111" t="n"/>
      <c r="F9" s="34" t="inlineStr">
        <is>
          <t>热压10000pcs</t>
        </is>
      </c>
      <c r="G9" s="2" t="n">
        <v>0</v>
      </c>
      <c r="H9" s="132" t="n">
        <v>1.16</v>
      </c>
      <c r="I9" s="111" t="n"/>
      <c r="J9" s="111" t="n"/>
      <c r="K9" s="111" t="n"/>
      <c r="L9" s="111" t="n"/>
      <c r="M9" s="111" t="n"/>
      <c r="N9" s="111" t="n"/>
      <c r="O9" s="113" t="n"/>
    </row>
    <row r="10" ht="50" customHeight="1" s="91">
      <c r="A10" s="109" t="n"/>
      <c r="B10" s="110" t="n"/>
      <c r="C10" s="111" t="n"/>
      <c r="D10" s="2" t="inlineStr">
        <is>
          <t>2color</t>
        </is>
      </c>
      <c r="E10" s="111" t="n"/>
      <c r="F10" s="34" t="inlineStr">
        <is>
          <t>热压3000pcs</t>
        </is>
      </c>
      <c r="G10" s="2" t="n">
        <v>0</v>
      </c>
      <c r="H10" s="132" t="n">
        <v>1.38</v>
      </c>
      <c r="I10" s="111" t="n"/>
      <c r="J10" s="111" t="n"/>
      <c r="K10" s="111" t="n"/>
      <c r="L10" s="111" t="n"/>
      <c r="M10" s="111" t="n"/>
      <c r="N10" s="111" t="n"/>
      <c r="O10" s="113" t="n"/>
    </row>
    <row r="11" ht="50" customHeight="1" s="91">
      <c r="A11" s="109" t="n"/>
      <c r="B11" s="110" t="n"/>
      <c r="C11" s="111" t="n"/>
      <c r="D11" s="2" t="inlineStr">
        <is>
          <t>2color</t>
        </is>
      </c>
      <c r="E11" s="111" t="n"/>
      <c r="F11" s="34" t="inlineStr">
        <is>
          <t>热压5000pcs</t>
        </is>
      </c>
      <c r="G11" s="2" t="n">
        <v>0</v>
      </c>
      <c r="H11" s="132" t="n">
        <v>1.3</v>
      </c>
      <c r="I11" s="111" t="n"/>
      <c r="J11" s="111" t="n"/>
      <c r="K11" s="111" t="n"/>
      <c r="L11" s="111" t="n"/>
      <c r="M11" s="111" t="n"/>
      <c r="N11" s="111" t="n"/>
      <c r="O11" s="113" t="n"/>
    </row>
    <row r="12" ht="50" customHeight="1" s="91">
      <c r="A12" s="109" t="n"/>
      <c r="B12" s="110" t="n"/>
      <c r="C12" s="111" t="n"/>
      <c r="D12" s="2" t="inlineStr">
        <is>
          <t>2color</t>
        </is>
      </c>
      <c r="E12" s="111" t="n"/>
      <c r="F12" s="34" t="inlineStr">
        <is>
          <t>热压10000pcs</t>
        </is>
      </c>
      <c r="G12" s="2" t="n">
        <v>0</v>
      </c>
      <c r="H12" s="132" t="n">
        <v>1.26</v>
      </c>
      <c r="I12" s="111" t="n"/>
      <c r="J12" s="111" t="n"/>
      <c r="K12" s="111" t="n"/>
      <c r="L12" s="111" t="n"/>
      <c r="M12" s="111" t="n"/>
      <c r="N12" s="111" t="n"/>
      <c r="O12" s="113" t="n"/>
    </row>
    <row r="13" ht="50" customHeight="1" s="91">
      <c r="A13" s="109" t="n"/>
      <c r="B13" s="110" t="n"/>
      <c r="C13" s="111" t="n"/>
      <c r="D13" s="2" t="inlineStr">
        <is>
          <t>3color</t>
        </is>
      </c>
      <c r="E13" s="111" t="n"/>
      <c r="F13" s="34" t="inlineStr">
        <is>
          <t>热压3000pcs</t>
        </is>
      </c>
      <c r="G13" s="2" t="n">
        <v>0</v>
      </c>
      <c r="H13" s="132" t="n">
        <v>1.53</v>
      </c>
      <c r="I13" s="111" t="n"/>
      <c r="J13" s="111" t="n"/>
      <c r="K13" s="111" t="n"/>
      <c r="L13" s="111" t="n"/>
      <c r="M13" s="111" t="n"/>
      <c r="N13" s="111" t="n"/>
      <c r="O13" s="113" t="n"/>
    </row>
    <row r="14" ht="50" customHeight="1" s="91">
      <c r="A14" s="109" t="n"/>
      <c r="B14" s="110" t="n"/>
      <c r="C14" s="111" t="n"/>
      <c r="D14" s="2" t="inlineStr">
        <is>
          <t>3color</t>
        </is>
      </c>
      <c r="E14" s="111" t="n"/>
      <c r="F14" s="34" t="inlineStr">
        <is>
          <t>热压5000pcs</t>
        </is>
      </c>
      <c r="G14" s="2" t="n">
        <v>0</v>
      </c>
      <c r="H14" s="132" t="n">
        <v>1.43</v>
      </c>
      <c r="I14" s="111" t="n"/>
      <c r="J14" s="111" t="n"/>
      <c r="K14" s="111" t="n"/>
      <c r="L14" s="111" t="n"/>
      <c r="M14" s="111" t="n"/>
      <c r="N14" s="111" t="n"/>
      <c r="O14" s="113" t="n"/>
    </row>
    <row r="15" ht="50" customHeight="1" s="91">
      <c r="A15" s="109" t="n"/>
      <c r="B15" s="110" t="n"/>
      <c r="C15" s="111" t="n"/>
      <c r="D15" s="2" t="inlineStr">
        <is>
          <t>3color</t>
        </is>
      </c>
      <c r="E15" s="111" t="n"/>
      <c r="F15" s="34" t="inlineStr">
        <is>
          <t>热压10000pcs</t>
        </is>
      </c>
      <c r="G15" s="2" t="n">
        <v>0</v>
      </c>
      <c r="H15" s="132" t="n">
        <v>1.36</v>
      </c>
      <c r="I15" s="111" t="n"/>
      <c r="J15" s="111" t="n"/>
      <c r="K15" s="111" t="n"/>
      <c r="L15" s="111" t="n"/>
      <c r="M15" s="111" t="n"/>
      <c r="N15" s="111" t="n"/>
      <c r="O15" s="113" t="n"/>
    </row>
    <row r="16" ht="50" customHeight="1" s="91">
      <c r="A16" s="109" t="n"/>
      <c r="B16" s="114" t="n"/>
      <c r="C16" s="111" t="n"/>
      <c r="D16" s="2" t="inlineStr">
        <is>
          <t>1color</t>
        </is>
      </c>
      <c r="E16" s="111" t="n"/>
      <c r="F16" s="34" t="inlineStr">
        <is>
          <t>车缝1000pcs</t>
        </is>
      </c>
      <c r="G16" s="2" t="n">
        <v>0</v>
      </c>
      <c r="H16" s="132" t="n">
        <v>1.5</v>
      </c>
      <c r="I16" s="115" t="n"/>
      <c r="J16" s="115" t="n"/>
      <c r="K16" s="115" t="n"/>
      <c r="L16" s="115" t="n"/>
      <c r="M16" s="115" t="n"/>
      <c r="N16" s="115" t="n"/>
      <c r="O16" s="113" t="n"/>
    </row>
    <row r="17" ht="50" customHeight="1" s="91">
      <c r="A17" s="109" t="n"/>
      <c r="B17" s="116" t="inlineStr">
        <is>
          <t>Non</t>
        </is>
      </c>
      <c r="C17" s="111" t="n"/>
      <c r="D17" s="2" t="inlineStr">
        <is>
          <t>1color</t>
        </is>
      </c>
      <c r="E17" s="111" t="n"/>
      <c r="F17" s="34" t="inlineStr">
        <is>
          <t>热压3000pcs</t>
        </is>
      </c>
      <c r="G17" s="2" t="n">
        <v>0</v>
      </c>
      <c r="H17" s="132" t="n">
        <v>0.63</v>
      </c>
      <c r="I17" s="107" t="n">
        <v>300</v>
      </c>
      <c r="J17" s="107" t="n">
        <v>54</v>
      </c>
      <c r="K17" s="107" t="n">
        <v>39</v>
      </c>
      <c r="L17" s="102" t="n">
        <v>25</v>
      </c>
      <c r="M17" s="108">
        <f>PRODUCT(J17:L25)/1000000</f>
        <v/>
      </c>
      <c r="N17" s="107" t="n">
        <v>10.5</v>
      </c>
      <c r="O17" s="113" t="n"/>
    </row>
    <row r="18" ht="50" customHeight="1" s="91">
      <c r="A18" s="109" t="n"/>
      <c r="B18" s="110" t="n"/>
      <c r="C18" s="111" t="n"/>
      <c r="D18" s="2" t="inlineStr">
        <is>
          <t>1color</t>
        </is>
      </c>
      <c r="E18" s="111" t="n"/>
      <c r="F18" s="34" t="inlineStr">
        <is>
          <t>热压5000pcs</t>
        </is>
      </c>
      <c r="G18" s="2" t="n">
        <v>0</v>
      </c>
      <c r="H18" s="132" t="n">
        <v>0.59</v>
      </c>
      <c r="I18" s="111" t="n"/>
      <c r="J18" s="111" t="n"/>
      <c r="K18" s="111" t="n"/>
      <c r="L18" s="111" t="n"/>
      <c r="M18" s="111" t="n"/>
      <c r="N18" s="111" t="n"/>
      <c r="O18" s="113" t="n"/>
    </row>
    <row r="19" ht="50" customHeight="1" s="91">
      <c r="A19" s="109" t="n"/>
      <c r="B19" s="110" t="n"/>
      <c r="C19" s="111" t="n"/>
      <c r="D19" s="2" t="inlineStr">
        <is>
          <t>1color</t>
        </is>
      </c>
      <c r="E19" s="111" t="n"/>
      <c r="F19" s="34" t="inlineStr">
        <is>
          <t>热压10000pcs</t>
        </is>
      </c>
      <c r="G19" s="2" t="n">
        <v>0</v>
      </c>
      <c r="H19" s="132" t="n">
        <v>0.5600000000000001</v>
      </c>
      <c r="I19" s="111" t="n"/>
      <c r="J19" s="111" t="n"/>
      <c r="K19" s="111" t="n"/>
      <c r="L19" s="111" t="n"/>
      <c r="M19" s="111" t="n"/>
      <c r="N19" s="111" t="n"/>
      <c r="O19" s="113" t="n"/>
    </row>
    <row r="20" ht="50" customHeight="1" s="91">
      <c r="A20" s="109" t="n"/>
      <c r="B20" s="110" t="n"/>
      <c r="C20" s="111" t="n"/>
      <c r="D20" s="2" t="inlineStr">
        <is>
          <t>2color</t>
        </is>
      </c>
      <c r="E20" s="111" t="n"/>
      <c r="F20" s="34" t="inlineStr">
        <is>
          <t>热压3000pcs</t>
        </is>
      </c>
      <c r="G20" s="2" t="n">
        <v>0</v>
      </c>
      <c r="H20" s="132" t="n">
        <v>0.78</v>
      </c>
      <c r="I20" s="111" t="n"/>
      <c r="J20" s="111" t="n"/>
      <c r="K20" s="111" t="n"/>
      <c r="L20" s="111" t="n"/>
      <c r="M20" s="111" t="n"/>
      <c r="N20" s="111" t="n"/>
      <c r="O20" s="113" t="n"/>
    </row>
    <row r="21" ht="50" customHeight="1" s="91">
      <c r="A21" s="109" t="n"/>
      <c r="B21" s="110" t="n"/>
      <c r="C21" s="111" t="n"/>
      <c r="D21" s="2" t="inlineStr">
        <is>
          <t>2color</t>
        </is>
      </c>
      <c r="E21" s="111" t="n"/>
      <c r="F21" s="34" t="inlineStr">
        <is>
          <t>热压5000pcs</t>
        </is>
      </c>
      <c r="G21" s="2" t="n">
        <v>0</v>
      </c>
      <c r="H21" s="132" t="n">
        <v>0.71</v>
      </c>
      <c r="I21" s="111" t="n"/>
      <c r="J21" s="111" t="n"/>
      <c r="K21" s="111" t="n"/>
      <c r="L21" s="111" t="n"/>
      <c r="M21" s="111" t="n"/>
      <c r="N21" s="111" t="n"/>
      <c r="O21" s="113" t="n"/>
    </row>
    <row r="22" ht="50" customHeight="1" s="91">
      <c r="A22" s="109" t="n"/>
      <c r="B22" s="110" t="n"/>
      <c r="C22" s="111" t="n"/>
      <c r="D22" s="2" t="inlineStr">
        <is>
          <t>2color</t>
        </is>
      </c>
      <c r="E22" s="111" t="n"/>
      <c r="F22" s="34" t="inlineStr">
        <is>
          <t>热压10000pcs</t>
        </is>
      </c>
      <c r="G22" s="2" t="n">
        <v>0</v>
      </c>
      <c r="H22" s="132" t="n">
        <v>0.66</v>
      </c>
      <c r="I22" s="111" t="n"/>
      <c r="J22" s="111" t="n"/>
      <c r="K22" s="111" t="n"/>
      <c r="L22" s="111" t="n"/>
      <c r="M22" s="111" t="n"/>
      <c r="N22" s="111" t="n"/>
      <c r="O22" s="113" t="n"/>
    </row>
    <row r="23" ht="50" customHeight="1" s="91">
      <c r="A23" s="109" t="n"/>
      <c r="B23" s="110" t="n"/>
      <c r="C23" s="111" t="n"/>
      <c r="D23" s="2" t="inlineStr">
        <is>
          <t>3color</t>
        </is>
      </c>
      <c r="E23" s="111" t="n"/>
      <c r="F23" s="34" t="inlineStr">
        <is>
          <t>热压3000pcs</t>
        </is>
      </c>
      <c r="G23" s="2" t="n">
        <v>0</v>
      </c>
      <c r="H23" s="132" t="n">
        <v>0.93</v>
      </c>
      <c r="I23" s="111" t="n"/>
      <c r="J23" s="111" t="n"/>
      <c r="K23" s="111" t="n"/>
      <c r="L23" s="111" t="n"/>
      <c r="M23" s="111" t="n"/>
      <c r="N23" s="111" t="n"/>
      <c r="O23" s="113" t="n"/>
    </row>
    <row r="24" ht="50" customHeight="1" s="91">
      <c r="A24" s="109" t="n"/>
      <c r="B24" s="110" t="n"/>
      <c r="C24" s="111" t="n"/>
      <c r="D24" s="2" t="inlineStr">
        <is>
          <t>3color</t>
        </is>
      </c>
      <c r="E24" s="111" t="n"/>
      <c r="F24" s="34" t="inlineStr">
        <is>
          <t>热压5000pcs</t>
        </is>
      </c>
      <c r="G24" s="2" t="n">
        <v>0</v>
      </c>
      <c r="H24" s="132" t="n">
        <v>0.84</v>
      </c>
      <c r="I24" s="111" t="n"/>
      <c r="J24" s="111" t="n"/>
      <c r="K24" s="111" t="n"/>
      <c r="L24" s="111" t="n"/>
      <c r="M24" s="111" t="n"/>
      <c r="N24" s="111" t="n"/>
      <c r="O24" s="113" t="n"/>
    </row>
    <row r="25" ht="50" customHeight="1" s="91">
      <c r="A25" s="109" t="n"/>
      <c r="B25" s="110" t="n"/>
      <c r="C25" s="111" t="n"/>
      <c r="D25" s="2" t="inlineStr">
        <is>
          <t>3color</t>
        </is>
      </c>
      <c r="E25" s="111" t="n"/>
      <c r="F25" s="34" t="inlineStr">
        <is>
          <t>热压10000pcs</t>
        </is>
      </c>
      <c r="G25" s="2" t="n">
        <v>0</v>
      </c>
      <c r="H25" s="132" t="n">
        <v>0.76</v>
      </c>
      <c r="I25" s="111" t="n"/>
      <c r="J25" s="111" t="n"/>
      <c r="K25" s="111" t="n"/>
      <c r="L25" s="111" t="n"/>
      <c r="M25" s="111" t="n"/>
      <c r="N25" s="111" t="n"/>
      <c r="O25" s="113" t="n"/>
    </row>
    <row r="26" ht="50" customHeight="1" s="91">
      <c r="A26" s="117" t="n"/>
      <c r="B26" s="114" t="n"/>
      <c r="C26" s="115" t="n"/>
      <c r="D26" s="37" t="inlineStr">
        <is>
          <t>1color</t>
        </is>
      </c>
      <c r="E26" s="115" t="n"/>
      <c r="F26" s="42" t="inlineStr">
        <is>
          <t>车缝1000pcs</t>
        </is>
      </c>
      <c r="G26" s="37" t="n">
        <v>0</v>
      </c>
      <c r="H26" s="133" t="n">
        <v>1.45</v>
      </c>
      <c r="I26" s="115" t="n"/>
      <c r="J26" s="115" t="n"/>
      <c r="K26" s="115" t="n"/>
      <c r="L26" s="115" t="n"/>
      <c r="M26" s="115" t="n"/>
      <c r="N26" s="115" t="n"/>
      <c r="O26" s="119" t="n"/>
    </row>
    <row r="27" ht="50" customHeight="1" s="91">
      <c r="A27" s="71" t="inlineStr">
        <is>
          <t>H35*W50</t>
        </is>
      </c>
      <c r="B27" s="69" t="inlineStr">
        <is>
          <t>Handle</t>
        </is>
      </c>
      <c r="C27" s="120" t="inlineStr">
        <is>
          <t>80g无纺布</t>
        </is>
      </c>
      <c r="D27" s="67" t="inlineStr">
        <is>
          <t>1color/2colors/3colors</t>
        </is>
      </c>
      <c r="E27" s="120" t="inlineStr">
        <is>
          <t>laminating</t>
        </is>
      </c>
      <c r="F27" s="68" t="inlineStr">
        <is>
          <t>热压5000pcs</t>
        </is>
      </c>
      <c r="G27" s="67" t="inlineStr">
        <is>
          <t>1color:￥300
2colors:￥600
3colors:￥900</t>
        </is>
      </c>
      <c r="H27" s="134" t="n">
        <v>0.78</v>
      </c>
      <c r="I27" s="122" t="n">
        <v>300</v>
      </c>
      <c r="J27" s="122" t="n">
        <v>60</v>
      </c>
      <c r="K27" s="122" t="n">
        <v>40</v>
      </c>
      <c r="L27" s="120" t="n">
        <v>25</v>
      </c>
      <c r="M27" s="123">
        <f>PRODUCT(J27:L30)/1000000</f>
        <v/>
      </c>
      <c r="N27" s="122" t="n">
        <v>12</v>
      </c>
      <c r="O27" s="82" t="inlineStr">
        <is>
          <t>logo颜色对成本没有影响，但是要收取版费
版费：400元/色
The number of logo colors does not affect the cost, but printing costs will be charged
Printing cost: 
￥400/color</t>
        </is>
      </c>
    </row>
    <row r="28" ht="50" customHeight="1" s="91">
      <c r="A28" s="109" t="n"/>
      <c r="B28" s="110" t="n"/>
      <c r="C28" s="111" t="n"/>
      <c r="D28" s="45" t="inlineStr">
        <is>
          <t>1color/2colors/3colors</t>
        </is>
      </c>
      <c r="E28" s="111" t="n"/>
      <c r="F28" s="49" t="inlineStr">
        <is>
          <t>热压10000pcs</t>
        </is>
      </c>
      <c r="G28" s="45" t="inlineStr">
        <is>
          <t>1color:￥300
2colors:￥600
3colors:￥900</t>
        </is>
      </c>
      <c r="H28" s="135" t="n">
        <v>0.74</v>
      </c>
      <c r="I28" s="111" t="n"/>
      <c r="J28" s="111" t="n"/>
      <c r="K28" s="111" t="n"/>
      <c r="L28" s="111" t="n"/>
      <c r="M28" s="111" t="n"/>
      <c r="N28" s="111" t="n"/>
      <c r="O28" s="113" t="n"/>
    </row>
    <row r="29" ht="50" customHeight="1" s="91">
      <c r="A29" s="109" t="n"/>
      <c r="B29" s="110" t="n"/>
      <c r="C29" s="111" t="n"/>
      <c r="D29" s="45" t="inlineStr">
        <is>
          <t>1color/2colors/3colors</t>
        </is>
      </c>
      <c r="E29" s="111" t="n"/>
      <c r="F29" s="49" t="inlineStr">
        <is>
          <t>车缝1000pcs</t>
        </is>
      </c>
      <c r="G29" s="45" t="inlineStr">
        <is>
          <t>1color:￥300
2colors:￥600
3colors:￥900</t>
        </is>
      </c>
      <c r="H29" s="135" t="n">
        <v>2.35</v>
      </c>
      <c r="I29" s="111" t="n"/>
      <c r="J29" s="111" t="n"/>
      <c r="K29" s="111" t="n"/>
      <c r="L29" s="111" t="n"/>
      <c r="M29" s="111" t="n"/>
      <c r="N29" s="111" t="n"/>
      <c r="O29" s="113" t="n"/>
    </row>
    <row r="30" ht="50" customHeight="1" s="91">
      <c r="A30" s="109" t="n"/>
      <c r="B30" s="114" t="n"/>
      <c r="C30" s="111" t="n"/>
      <c r="D30" s="45" t="inlineStr">
        <is>
          <t>1color/2colors/3colors</t>
        </is>
      </c>
      <c r="E30" s="111" t="n"/>
      <c r="F30" s="49" t="inlineStr">
        <is>
          <t>车缝3000pcs</t>
        </is>
      </c>
      <c r="G30" s="45" t="inlineStr">
        <is>
          <t>1color:￥300
2colors:￥600
3colors:￥900</t>
        </is>
      </c>
      <c r="H30" s="135" t="n">
        <v>1.53</v>
      </c>
      <c r="I30" s="115" t="n"/>
      <c r="J30" s="115" t="n"/>
      <c r="K30" s="115" t="n"/>
      <c r="L30" s="115" t="n"/>
      <c r="M30" s="115" t="n"/>
      <c r="N30" s="115" t="n"/>
      <c r="O30" s="113" t="n"/>
    </row>
    <row r="31" ht="50" customHeight="1" s="91">
      <c r="A31" s="109" t="n"/>
      <c r="B31" s="50" t="inlineStr">
        <is>
          <t>Non</t>
        </is>
      </c>
      <c r="C31" s="111" t="n"/>
      <c r="D31" s="45" t="inlineStr">
        <is>
          <t>1color/2colors/3colors</t>
        </is>
      </c>
      <c r="E31" s="111" t="n"/>
      <c r="F31" s="49" t="inlineStr">
        <is>
          <t>热压5000pcs</t>
        </is>
      </c>
      <c r="G31" s="45" t="inlineStr">
        <is>
          <t>1color:￥300
2colors:￥600
3colors:￥900</t>
        </is>
      </c>
      <c r="H31" s="135" t="n">
        <v>0.73</v>
      </c>
      <c r="I31" s="126" t="n">
        <v>300</v>
      </c>
      <c r="J31" s="126" t="n">
        <v>54</v>
      </c>
      <c r="K31" s="126" t="n">
        <v>38</v>
      </c>
      <c r="L31" s="127" t="n">
        <v>25</v>
      </c>
      <c r="M31" s="128">
        <f>PRODUCT(J31:L34)/1000000</f>
        <v/>
      </c>
      <c r="N31" s="126" t="n">
        <v>10.5</v>
      </c>
      <c r="O31" s="113" t="n"/>
    </row>
    <row r="32" ht="50" customHeight="1" s="91">
      <c r="A32" s="109" t="n"/>
      <c r="B32" s="110" t="n"/>
      <c r="C32" s="111" t="n"/>
      <c r="D32" s="45" t="inlineStr">
        <is>
          <t>1color/2colors/3colors</t>
        </is>
      </c>
      <c r="E32" s="111" t="n"/>
      <c r="F32" s="49" t="inlineStr">
        <is>
          <t>热压10000pcs</t>
        </is>
      </c>
      <c r="G32" s="45" t="inlineStr">
        <is>
          <t>1color:￥300
2colors:￥600
3colors:￥900</t>
        </is>
      </c>
      <c r="H32" s="135" t="n">
        <v>0.7</v>
      </c>
      <c r="I32" s="111" t="n"/>
      <c r="J32" s="111" t="n"/>
      <c r="K32" s="111" t="n"/>
      <c r="L32" s="111" t="n"/>
      <c r="M32" s="111" t="n"/>
      <c r="N32" s="111" t="n"/>
      <c r="O32" s="113" t="n"/>
    </row>
    <row r="33" ht="50" customHeight="1" s="91">
      <c r="A33" s="109" t="n"/>
      <c r="B33" s="110" t="n"/>
      <c r="C33" s="111" t="n"/>
      <c r="D33" s="45" t="inlineStr">
        <is>
          <t>1color/2colors/3colors</t>
        </is>
      </c>
      <c r="E33" s="111" t="n"/>
      <c r="F33" s="49" t="inlineStr">
        <is>
          <t>车缝1000pcs</t>
        </is>
      </c>
      <c r="G33" s="45" t="inlineStr">
        <is>
          <t>1color:￥300
2colors:￥600
3colors:￥900</t>
        </is>
      </c>
      <c r="H33" s="135" t="n">
        <v>2.3</v>
      </c>
      <c r="I33" s="111" t="n"/>
      <c r="J33" s="111" t="n"/>
      <c r="K33" s="111" t="n"/>
      <c r="L33" s="111" t="n"/>
      <c r="M33" s="111" t="n"/>
      <c r="N33" s="111" t="n"/>
      <c r="O33" s="113" t="n"/>
    </row>
    <row r="34" ht="50" customHeight="1" s="91">
      <c r="A34" s="117" t="n"/>
      <c r="B34" s="114" t="n"/>
      <c r="C34" s="115" t="n"/>
      <c r="D34" s="72" t="inlineStr">
        <is>
          <t>1color/2colors/3colors</t>
        </is>
      </c>
      <c r="E34" s="115" t="n"/>
      <c r="F34" s="79" t="inlineStr">
        <is>
          <t>车缝3000pcs</t>
        </is>
      </c>
      <c r="G34" s="72" t="inlineStr">
        <is>
          <t>1color:￥300
2colors:￥600
3colors:￥900</t>
        </is>
      </c>
      <c r="H34" s="136" t="n">
        <v>1.48</v>
      </c>
      <c r="I34" s="115" t="n"/>
      <c r="J34" s="115" t="n"/>
      <c r="K34" s="115" t="n"/>
      <c r="L34" s="115" t="n"/>
      <c r="M34" s="115" t="n"/>
      <c r="N34" s="115" t="n"/>
      <c r="O34" s="119" t="n"/>
    </row>
    <row r="35" ht="17" customHeight="1" s="91"/>
    <row r="36" ht="17" customHeight="1" s="91"/>
    <row r="37" ht="17" customHeight="1" s="91"/>
    <row r="38" ht="17" customHeight="1" s="91"/>
    <row r="39" ht="17" customHeight="1" s="91"/>
    <row r="40" ht="17" customHeight="1" s="91"/>
    <row r="41" ht="17" customHeight="1" s="91"/>
    <row r="42" ht="17" customHeight="1" s="91"/>
    <row r="43" ht="17" customHeight="1" s="91"/>
    <row r="44" ht="17" customHeight="1" s="91"/>
    <row r="45" ht="17" customHeight="1" s="91"/>
    <row r="46" ht="17" customHeight="1" s="91"/>
    <row r="47" ht="17" customHeight="1" s="91"/>
    <row r="48" ht="17" customHeight="1" s="91"/>
    <row r="49" ht="17" customHeight="1" s="91"/>
    <row r="50" ht="17" customHeight="1" s="91"/>
    <row r="51" ht="17" customHeight="1" s="91"/>
    <row r="52" ht="17" customHeight="1" s="91"/>
    <row r="53" ht="17" customHeight="1" s="91"/>
    <row r="54" ht="17" customHeight="1" s="91"/>
    <row r="55" ht="17" customHeight="1" s="91"/>
    <row r="56" ht="17" customHeight="1" s="91"/>
    <row r="57" ht="17" customHeight="1" s="91"/>
    <row r="58" ht="17" customHeight="1" s="91"/>
    <row r="59" ht="17" customHeight="1" s="91"/>
    <row r="60" ht="17" customHeight="1" s="91"/>
    <row r="61" ht="17" customHeight="1" s="91"/>
    <row r="62" ht="17" customHeight="1" s="91"/>
    <row r="63" ht="17" customHeight="1" s="91"/>
    <row r="64" ht="17" customHeight="1" s="91"/>
    <row r="65" ht="17" customHeight="1" s="91"/>
    <row r="66" ht="17" customHeight="1" s="91"/>
    <row r="67" ht="17" customHeight="1" s="91"/>
    <row r="68" ht="17" customHeight="1" s="91"/>
    <row r="69" ht="17" customHeight="1" s="91"/>
    <row r="70" ht="17" customHeight="1" s="91"/>
    <row r="71" ht="17" customHeight="1" s="91"/>
    <row r="72" ht="17" customHeight="1" s="91"/>
    <row r="73" ht="17" customHeight="1" s="91"/>
    <row r="74" ht="17" customHeight="1" s="91"/>
    <row r="75" ht="17" customHeight="1" s="91"/>
    <row r="76" ht="17" customHeight="1" s="91"/>
    <row r="77" ht="17" customHeight="1" s="91"/>
    <row r="78" ht="17" customHeight="1" s="91"/>
    <row r="79" ht="17" customHeight="1" s="91"/>
    <row r="80" ht="17" customHeight="1" s="91"/>
    <row r="81" ht="17" customHeight="1" s="91"/>
    <row r="82" ht="17" customHeight="1" s="91"/>
    <row r="83" ht="17" customHeight="1" s="91"/>
    <row r="84" ht="17" customHeight="1" s="91"/>
    <row r="85" ht="17" customHeight="1" s="91"/>
    <row r="86" ht="17" customHeight="1" s="91"/>
    <row r="87" ht="17" customHeight="1" s="91"/>
    <row r="88" ht="17" customHeight="1" s="91"/>
    <row r="89" ht="17" customHeight="1" s="91"/>
    <row r="90" ht="17" customHeight="1" s="91"/>
    <row r="91" ht="17" customHeight="1" s="91"/>
    <row r="92" ht="17" customHeight="1" s="91"/>
    <row r="93" ht="17" customHeight="1" s="91"/>
    <row r="94" ht="17" customHeight="1" s="91"/>
    <row r="95" ht="17" customHeight="1" s="91"/>
    <row r="96" ht="17" customHeight="1" s="91"/>
    <row r="97" ht="17" customHeight="1" s="91"/>
    <row r="98" ht="17" customHeight="1" s="91"/>
    <row r="99" ht="17" customHeight="1" s="91"/>
    <row r="100" ht="17" customHeight="1" s="91"/>
    <row r="101" ht="17" customHeight="1" s="91"/>
    <row r="102" ht="17" customHeight="1" s="91"/>
    <row r="103" ht="17" customHeight="1" s="91"/>
    <row r="104" ht="17" customHeight="1" s="91"/>
    <row r="105" ht="17" customHeight="1" s="91"/>
    <row r="106" ht="17" customHeight="1" s="91"/>
    <row r="107" ht="17" customHeight="1" s="91"/>
    <row r="108" ht="17" customHeight="1" s="91"/>
    <row r="109" ht="17" customHeight="1" s="91"/>
    <row r="110" ht="17" customHeight="1" s="91"/>
    <row r="111" ht="17" customHeight="1" s="91"/>
    <row r="112" ht="17" customHeight="1" s="91"/>
    <row r="113" ht="17" customHeight="1" s="91"/>
    <row r="114" ht="17" customHeight="1" s="91"/>
    <row r="115" ht="17" customHeight="1" s="91"/>
    <row r="116" ht="17" customHeight="1" s="91"/>
    <row r="117" ht="17" customHeight="1" s="91"/>
    <row r="118" ht="17" customHeight="1" s="91"/>
    <row r="119" ht="17" customHeight="1" s="91"/>
    <row r="120" ht="17" customHeight="1" s="91"/>
    <row r="121" ht="17" customHeight="1" s="91"/>
    <row r="122" ht="17" customHeight="1" s="91"/>
    <row r="123" ht="17" customHeight="1" s="91"/>
    <row r="124" ht="17" customHeight="1" s="91"/>
    <row r="125" ht="17" customHeight="1" s="91"/>
    <row r="126" ht="17" customHeight="1" s="91"/>
    <row r="127" ht="17" customHeight="1" s="91"/>
    <row r="128" ht="17" customHeight="1" s="91"/>
    <row r="129" ht="17" customHeight="1" s="91"/>
    <row r="130" ht="17" customHeight="1" s="91"/>
    <row r="131" ht="17" customHeight="1" s="91"/>
    <row r="132" ht="17" customHeight="1" s="91"/>
    <row r="133" ht="17" customHeight="1" s="91"/>
    <row r="134" ht="17" customHeight="1" s="91"/>
    <row r="135" ht="17" customHeight="1" s="91"/>
    <row r="136" ht="17" customHeight="1" s="91"/>
    <row r="137" ht="17" customHeight="1" s="91"/>
    <row r="138" ht="17" customHeight="1" s="91"/>
    <row r="139" ht="17" customHeight="1" s="91"/>
    <row r="140" ht="17" customHeight="1" s="91"/>
    <row r="141" ht="17" customHeight="1" s="91"/>
    <row r="142" ht="17" customHeight="1" s="91"/>
    <row r="143" ht="17" customHeight="1" s="91"/>
    <row r="144" ht="17" customHeight="1" s="91"/>
    <row r="145" ht="17" customHeight="1" s="91"/>
    <row r="146" ht="17" customHeight="1" s="91"/>
    <row r="147" ht="17" customHeight="1" s="91"/>
    <row r="148" ht="17" customHeight="1" s="91"/>
    <row r="149" ht="17" customHeight="1" s="91"/>
    <row r="150" ht="17" customHeight="1" s="91"/>
    <row r="151" ht="17" customHeight="1" s="91"/>
    <row r="152" ht="17" customHeight="1" s="91"/>
    <row r="153" ht="17" customHeight="1" s="91"/>
    <row r="154" ht="17" customHeight="1" s="91"/>
    <row r="155" ht="17" customHeight="1" s="91"/>
    <row r="156" ht="17" customHeight="1" s="91"/>
    <row r="157" ht="17" customHeight="1" s="91"/>
    <row r="158" ht="17" customHeight="1" s="91"/>
    <row r="159" ht="17" customHeight="1" s="91"/>
    <row r="160" ht="17" customHeight="1" s="91"/>
    <row r="161" ht="17" customHeight="1" s="91"/>
    <row r="162" ht="17" customHeight="1" s="91"/>
    <row r="163" ht="17" customHeight="1" s="91"/>
    <row r="164" ht="17" customHeight="1" s="91"/>
    <row r="165" ht="17" customHeight="1" s="91"/>
    <row r="166" ht="17" customHeight="1" s="91"/>
    <row r="167" ht="17" customHeight="1" s="91"/>
    <row r="168" ht="17" customHeight="1" s="91"/>
    <row r="169" ht="17" customHeight="1" s="91"/>
    <row r="170" ht="17" customHeight="1" s="91"/>
    <row r="171" ht="17" customHeight="1" s="91"/>
    <row r="172" ht="17" customHeight="1" s="91"/>
    <row r="173" ht="17" customHeight="1" s="91"/>
    <row r="174" ht="17" customHeight="1" s="91"/>
    <row r="175" ht="17" customHeight="1" s="91"/>
    <row r="176" ht="17" customHeight="1" s="91"/>
    <row r="177" ht="17" customHeight="1" s="91"/>
    <row r="178" ht="17" customHeight="1" s="91"/>
    <row r="179" ht="17" customHeight="1" s="91"/>
    <row r="180" ht="17" customHeight="1" s="91"/>
    <row r="181" ht="17" customHeight="1" s="91"/>
    <row r="182" ht="17" customHeight="1" s="91"/>
    <row r="183" ht="17" customHeight="1" s="91"/>
    <row r="184" ht="17" customHeight="1" s="91"/>
    <row r="185" ht="17" customHeight="1" s="91"/>
    <row r="186" ht="17" customHeight="1" s="91"/>
    <row r="187" ht="17" customHeight="1" s="91"/>
    <row r="188" ht="17" customHeight="1" s="91"/>
    <row r="189" ht="17" customHeight="1" s="91"/>
    <row r="190" ht="17" customHeight="1" s="91"/>
    <row r="191" ht="17" customHeight="1" s="91"/>
    <row r="192" ht="17" customHeight="1" s="91"/>
    <row r="193" ht="17" customHeight="1" s="91"/>
    <row r="194" ht="17" customHeight="1" s="91"/>
    <row r="195" ht="17" customHeight="1" s="91"/>
    <row r="196" ht="17" customHeight="1" s="91"/>
    <row r="197" ht="17" customHeight="1" s="91"/>
    <row r="198" ht="17" customHeight="1" s="91"/>
    <row r="199" ht="17" customHeight="1" s="91"/>
    <row r="200" ht="17" customHeight="1" s="91"/>
  </sheetData>
  <mergeCells count="44">
    <mergeCell ref="K17:K26"/>
    <mergeCell ref="I27:I30"/>
    <mergeCell ref="M17:M26"/>
    <mergeCell ref="D2:O2"/>
    <mergeCell ref="B31:B34"/>
    <mergeCell ref="A7:A26"/>
    <mergeCell ref="K7:K16"/>
    <mergeCell ref="A3:C3"/>
    <mergeCell ref="B7:B16"/>
    <mergeCell ref="B27:B30"/>
    <mergeCell ref="A2:C2"/>
    <mergeCell ref="J17:J26"/>
    <mergeCell ref="N7:N16"/>
    <mergeCell ref="L17:L26"/>
    <mergeCell ref="J27:J30"/>
    <mergeCell ref="I5:N5"/>
    <mergeCell ref="K31:K34"/>
    <mergeCell ref="L7:L16"/>
    <mergeCell ref="M31:M34"/>
    <mergeCell ref="D4:O4"/>
    <mergeCell ref="D3:O3"/>
    <mergeCell ref="A4:C4"/>
    <mergeCell ref="I7:I16"/>
    <mergeCell ref="K27:K30"/>
    <mergeCell ref="M27:M30"/>
    <mergeCell ref="C7:C26"/>
    <mergeCell ref="B17:B26"/>
    <mergeCell ref="E7:E26"/>
    <mergeCell ref="L31:L34"/>
    <mergeCell ref="O7:O26"/>
    <mergeCell ref="A27:A34"/>
    <mergeCell ref="J31:J34"/>
    <mergeCell ref="C27:C34"/>
    <mergeCell ref="E27:E34"/>
    <mergeCell ref="L27:L30"/>
    <mergeCell ref="M7:M16"/>
    <mergeCell ref="N17:N26"/>
    <mergeCell ref="N27:N30"/>
    <mergeCell ref="N31:N34"/>
    <mergeCell ref="I31:I34"/>
    <mergeCell ref="J7:J16"/>
    <mergeCell ref="A1:O1"/>
    <mergeCell ref="O27:O34"/>
    <mergeCell ref="I17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2026-05-19T16:17:48Z</dcterms:created>
  <dcterms:modified xmlns:dcterms="http://purl.org/dc/terms/" xmlns:xsi="http://www.w3.org/2001/XMLSchema-instance" xsi:type="dcterms:W3CDTF">2026-05-19T16:17:49Z</dcterms:modified>
</cp:coreProperties>
</file>